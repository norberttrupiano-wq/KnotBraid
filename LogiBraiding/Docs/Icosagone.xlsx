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notBraid\LogiBraiding\Docs\"/>
    </mc:Choice>
  </mc:AlternateContent>
  <xr:revisionPtr revIDLastSave="0" documentId="13_ncr:1_{D3838708-6687-4C12-93F8-842EA8D7A8C0}" xr6:coauthVersionLast="47" xr6:coauthVersionMax="47" xr10:uidLastSave="{00000000-0000-0000-0000-000000000000}"/>
  <bookViews>
    <workbookView xWindow="-120" yWindow="-120" windowWidth="24240" windowHeight="13020" xr2:uid="{5BAA5211-98EB-43DD-AC80-D1FC0B93894B}"/>
  </bookViews>
  <sheets>
    <sheet name="Icosagone" sheetId="2" r:id="rId1"/>
  </sheets>
  <definedNames>
    <definedName name="Entrées">Icosagone!$E$5:$E$84</definedName>
    <definedName name="sorties">Icosagone!$C$5:$C$84</definedName>
    <definedName name="_xlnm.Print_Area" localSheetId="0">Icosagone!$A$2:$E$84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2" l="1"/>
  <c r="N82" i="2"/>
  <c r="O84" i="2"/>
  <c r="N84" i="2"/>
  <c r="O83" i="2"/>
  <c r="N83" i="2"/>
  <c r="O82" i="2"/>
  <c r="O81" i="2"/>
  <c r="N81" i="2"/>
  <c r="O80" i="2"/>
  <c r="N80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8" i="2"/>
  <c r="N68" i="2"/>
  <c r="O67" i="2"/>
  <c r="N67" i="2"/>
  <c r="O66" i="2"/>
  <c r="N66" i="2"/>
  <c r="O65" i="2"/>
  <c r="N65" i="2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N53" i="2"/>
  <c r="O52" i="2"/>
  <c r="N52" i="2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O5" i="2"/>
  <c r="N5" i="2"/>
  <c r="J5" i="2"/>
  <c r="K40" i="2" l="1"/>
  <c r="L40" i="2" s="1"/>
  <c r="M40" i="2" s="1"/>
  <c r="P40" i="2" s="1"/>
  <c r="K41" i="2"/>
  <c r="L41" i="2" s="1"/>
  <c r="M41" i="2" s="1"/>
  <c r="P41" i="2" s="1"/>
  <c r="K42" i="2"/>
  <c r="L42" i="2" s="1"/>
  <c r="M42" i="2" s="1"/>
  <c r="P42" i="2" s="1"/>
  <c r="K43" i="2"/>
  <c r="L43" i="2" s="1"/>
  <c r="M43" i="2" s="1"/>
  <c r="P43" i="2" s="1"/>
  <c r="K44" i="2"/>
  <c r="L44" i="2" s="1"/>
  <c r="M44" i="2" s="1"/>
  <c r="K45" i="2"/>
  <c r="L45" i="2" s="1"/>
  <c r="M45" i="2" s="1"/>
  <c r="P45" i="2" s="1"/>
  <c r="K46" i="2"/>
  <c r="L46" i="2" s="1"/>
  <c r="M46" i="2" s="1"/>
  <c r="K54" i="2"/>
  <c r="L54" i="2" s="1"/>
  <c r="M54" i="2" s="1"/>
  <c r="K62" i="2"/>
  <c r="L62" i="2" s="1"/>
  <c r="M62" i="2" s="1"/>
  <c r="K63" i="2"/>
  <c r="L63" i="2" s="1"/>
  <c r="M63" i="2" s="1"/>
  <c r="P63" i="2" s="1"/>
  <c r="K64" i="2"/>
  <c r="L64" i="2" s="1"/>
  <c r="M64" i="2" s="1"/>
  <c r="K65" i="2"/>
  <c r="L65" i="2" s="1"/>
  <c r="M65" i="2" s="1"/>
  <c r="P65" i="2" s="1"/>
  <c r="K66" i="2"/>
  <c r="L66" i="2" s="1"/>
  <c r="M66" i="2" s="1"/>
  <c r="K67" i="2"/>
  <c r="L67" i="2" s="1"/>
  <c r="M67" i="2" s="1"/>
  <c r="P67" i="2" s="1"/>
  <c r="K68" i="2"/>
  <c r="L68" i="2" s="1"/>
  <c r="M68" i="2" s="1"/>
  <c r="K69" i="2"/>
  <c r="L69" i="2" s="1"/>
  <c r="M69" i="2" s="1"/>
  <c r="P69" i="2" s="1"/>
  <c r="K70" i="2"/>
  <c r="L70" i="2" s="1"/>
  <c r="M70" i="2" s="1"/>
  <c r="K71" i="2"/>
  <c r="L71" i="2" s="1"/>
  <c r="M71" i="2" s="1"/>
  <c r="P71" i="2" s="1"/>
  <c r="K72" i="2"/>
  <c r="L72" i="2" s="1"/>
  <c r="M72" i="2" s="1"/>
  <c r="K73" i="2"/>
  <c r="L73" i="2" s="1"/>
  <c r="M73" i="2" s="1"/>
  <c r="P73" i="2" s="1"/>
  <c r="K74" i="2"/>
  <c r="L74" i="2" s="1"/>
  <c r="M74" i="2" s="1"/>
  <c r="K75" i="2"/>
  <c r="L75" i="2" s="1"/>
  <c r="M75" i="2" s="1"/>
  <c r="P75" i="2" s="1"/>
  <c r="K76" i="2"/>
  <c r="L76" i="2" s="1"/>
  <c r="M76" i="2" s="1"/>
  <c r="K47" i="2"/>
  <c r="L47" i="2" s="1"/>
  <c r="M47" i="2" s="1"/>
  <c r="P47" i="2" s="1"/>
  <c r="K48" i="2"/>
  <c r="L48" i="2" s="1"/>
  <c r="M48" i="2" s="1"/>
  <c r="K49" i="2"/>
  <c r="L49" i="2" s="1"/>
  <c r="M49" i="2" s="1"/>
  <c r="P49" i="2" s="1"/>
  <c r="K50" i="2"/>
  <c r="L50" i="2" s="1"/>
  <c r="M50" i="2" s="1"/>
  <c r="K51" i="2"/>
  <c r="L51" i="2" s="1"/>
  <c r="M51" i="2" s="1"/>
  <c r="P51" i="2" s="1"/>
  <c r="K52" i="2"/>
  <c r="L52" i="2" s="1"/>
  <c r="M52" i="2" s="1"/>
  <c r="K53" i="2"/>
  <c r="L53" i="2" s="1"/>
  <c r="M53" i="2" s="1"/>
  <c r="P53" i="2" s="1"/>
  <c r="K55" i="2"/>
  <c r="L55" i="2" s="1"/>
  <c r="M55" i="2" s="1"/>
  <c r="P55" i="2" s="1"/>
  <c r="K56" i="2"/>
  <c r="L56" i="2" s="1"/>
  <c r="M56" i="2" s="1"/>
  <c r="K57" i="2"/>
  <c r="L57" i="2" s="1"/>
  <c r="M57" i="2" s="1"/>
  <c r="P57" i="2" s="1"/>
  <c r="K58" i="2"/>
  <c r="L58" i="2" s="1"/>
  <c r="M58" i="2" s="1"/>
  <c r="K59" i="2"/>
  <c r="L59" i="2" s="1"/>
  <c r="M59" i="2" s="1"/>
  <c r="P59" i="2" s="1"/>
  <c r="K60" i="2"/>
  <c r="L60" i="2" s="1"/>
  <c r="M60" i="2" s="1"/>
  <c r="K61" i="2"/>
  <c r="L61" i="2" s="1"/>
  <c r="M61" i="2" s="1"/>
  <c r="P61" i="2" s="1"/>
  <c r="K5" i="2"/>
  <c r="L5" i="2" s="1"/>
  <c r="M5" i="2" s="1"/>
  <c r="P5" i="2" s="1"/>
  <c r="K6" i="2"/>
  <c r="L6" i="2" s="1"/>
  <c r="M6" i="2" s="1"/>
  <c r="P6" i="2" s="1"/>
  <c r="K7" i="2"/>
  <c r="L7" i="2" s="1"/>
  <c r="M7" i="2" s="1"/>
  <c r="K8" i="2"/>
  <c r="L8" i="2" s="1"/>
  <c r="M8" i="2" s="1"/>
  <c r="P8" i="2" s="1"/>
  <c r="K9" i="2"/>
  <c r="L9" i="2" s="1"/>
  <c r="M9" i="2" s="1"/>
  <c r="P9" i="2" s="1"/>
  <c r="K10" i="2"/>
  <c r="L10" i="2" s="1"/>
  <c r="M10" i="2" s="1"/>
  <c r="P10" i="2" s="1"/>
  <c r="K11" i="2"/>
  <c r="L11" i="2" s="1"/>
  <c r="M11" i="2" s="1"/>
  <c r="P11" i="2" s="1"/>
  <c r="K12" i="2"/>
  <c r="L12" i="2" s="1"/>
  <c r="M12" i="2" s="1"/>
  <c r="P12" i="2" s="1"/>
  <c r="K13" i="2"/>
  <c r="L13" i="2" s="1"/>
  <c r="M13" i="2" s="1"/>
  <c r="P13" i="2" s="1"/>
  <c r="K14" i="2"/>
  <c r="L14" i="2" s="1"/>
  <c r="M14" i="2" s="1"/>
  <c r="P14" i="2" s="1"/>
  <c r="K15" i="2"/>
  <c r="L15" i="2" s="1"/>
  <c r="M15" i="2" s="1"/>
  <c r="P15" i="2" s="1"/>
  <c r="K16" i="2"/>
  <c r="L16" i="2" s="1"/>
  <c r="M16" i="2" s="1"/>
  <c r="P16" i="2" s="1"/>
  <c r="K17" i="2"/>
  <c r="L17" i="2" s="1"/>
  <c r="M17" i="2" s="1"/>
  <c r="P17" i="2" s="1"/>
  <c r="K18" i="2"/>
  <c r="L18" i="2" s="1"/>
  <c r="M18" i="2" s="1"/>
  <c r="P18" i="2" s="1"/>
  <c r="K19" i="2"/>
  <c r="L19" i="2" s="1"/>
  <c r="M19" i="2" s="1"/>
  <c r="P19" i="2" s="1"/>
  <c r="K20" i="2"/>
  <c r="L20" i="2" s="1"/>
  <c r="M20" i="2" s="1"/>
  <c r="P20" i="2" s="1"/>
  <c r="K21" i="2"/>
  <c r="L21" i="2" s="1"/>
  <c r="M21" i="2" s="1"/>
  <c r="P21" i="2" s="1"/>
  <c r="K22" i="2"/>
  <c r="L22" i="2" s="1"/>
  <c r="M22" i="2" s="1"/>
  <c r="P22" i="2" s="1"/>
  <c r="K23" i="2"/>
  <c r="L23" i="2" s="1"/>
  <c r="M23" i="2" s="1"/>
  <c r="P23" i="2" s="1"/>
  <c r="K24" i="2"/>
  <c r="L24" i="2" s="1"/>
  <c r="M24" i="2" s="1"/>
  <c r="P24" i="2" s="1"/>
  <c r="K25" i="2"/>
  <c r="L25" i="2" s="1"/>
  <c r="M25" i="2" s="1"/>
  <c r="P25" i="2" s="1"/>
  <c r="K26" i="2"/>
  <c r="L26" i="2" s="1"/>
  <c r="M26" i="2" s="1"/>
  <c r="P26" i="2" s="1"/>
  <c r="K27" i="2"/>
  <c r="L27" i="2" s="1"/>
  <c r="M27" i="2" s="1"/>
  <c r="P27" i="2" s="1"/>
  <c r="K28" i="2"/>
  <c r="L28" i="2" s="1"/>
  <c r="M28" i="2" s="1"/>
  <c r="P28" i="2" s="1"/>
  <c r="K29" i="2"/>
  <c r="L29" i="2" s="1"/>
  <c r="M29" i="2" s="1"/>
  <c r="P29" i="2" s="1"/>
  <c r="K30" i="2"/>
  <c r="L30" i="2" s="1"/>
  <c r="M30" i="2" s="1"/>
  <c r="P30" i="2" s="1"/>
  <c r="K31" i="2"/>
  <c r="L31" i="2" s="1"/>
  <c r="M31" i="2" s="1"/>
  <c r="P31" i="2" s="1"/>
  <c r="K32" i="2"/>
  <c r="L32" i="2" s="1"/>
  <c r="M32" i="2" s="1"/>
  <c r="P32" i="2" s="1"/>
  <c r="K33" i="2"/>
  <c r="L33" i="2" s="1"/>
  <c r="M33" i="2" s="1"/>
  <c r="P33" i="2" s="1"/>
  <c r="K34" i="2"/>
  <c r="L34" i="2" s="1"/>
  <c r="M34" i="2" s="1"/>
  <c r="P34" i="2" s="1"/>
  <c r="K35" i="2"/>
  <c r="L35" i="2" s="1"/>
  <c r="M35" i="2" s="1"/>
  <c r="P35" i="2" s="1"/>
  <c r="K36" i="2"/>
  <c r="L36" i="2" s="1"/>
  <c r="M36" i="2" s="1"/>
  <c r="P36" i="2" s="1"/>
  <c r="K37" i="2"/>
  <c r="L37" i="2" s="1"/>
  <c r="M37" i="2" s="1"/>
  <c r="P37" i="2" s="1"/>
  <c r="K38" i="2"/>
  <c r="L38" i="2" s="1"/>
  <c r="M38" i="2" s="1"/>
  <c r="P38" i="2" s="1"/>
  <c r="K39" i="2"/>
  <c r="L39" i="2" s="1"/>
  <c r="M39" i="2" s="1"/>
  <c r="P39" i="2" s="1"/>
  <c r="K78" i="2"/>
  <c r="L78" i="2" s="1"/>
  <c r="M78" i="2" s="1"/>
  <c r="P78" i="2" s="1"/>
  <c r="K80" i="2"/>
  <c r="L80" i="2" s="1"/>
  <c r="M80" i="2" s="1"/>
  <c r="K82" i="2"/>
  <c r="L82" i="2" s="1"/>
  <c r="M82" i="2" s="1"/>
  <c r="P82" i="2" s="1"/>
  <c r="K84" i="2"/>
  <c r="L84" i="2" s="1"/>
  <c r="M84" i="2" s="1"/>
  <c r="K77" i="2"/>
  <c r="L77" i="2" s="1"/>
  <c r="K81" i="2"/>
  <c r="L81" i="2" s="1"/>
  <c r="K79" i="2"/>
  <c r="L79" i="2" s="1"/>
  <c r="K83" i="2"/>
  <c r="L83" i="2" s="1"/>
  <c r="P68" i="2" l="1"/>
  <c r="P48" i="2"/>
  <c r="P76" i="2"/>
  <c r="P46" i="2"/>
  <c r="P52" i="2"/>
  <c r="P66" i="2"/>
  <c r="P84" i="2"/>
  <c r="P54" i="2"/>
  <c r="P74" i="2"/>
  <c r="P62" i="2"/>
  <c r="P70" i="2"/>
  <c r="P44" i="2"/>
  <c r="P72" i="2"/>
  <c r="P64" i="2"/>
  <c r="P50" i="2"/>
  <c r="P80" i="2"/>
  <c r="P58" i="2"/>
  <c r="P7" i="2"/>
  <c r="P56" i="2"/>
  <c r="P60" i="2"/>
  <c r="M83" i="2"/>
  <c r="P83" i="2" s="1"/>
  <c r="M81" i="2"/>
  <c r="P81" i="2" s="1"/>
  <c r="M79" i="2"/>
  <c r="P79" i="2" s="1"/>
  <c r="M77" i="2"/>
  <c r="P77" i="2" s="1"/>
  <c r="D84" i="2" l="1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<sst xmlns="http://schemas.openxmlformats.org/spreadsheetml/2006/main" count="13" uniqueCount="12">
  <si>
    <t>Brins</t>
  </si>
  <si>
    <t>Face</t>
  </si>
  <si>
    <t xml:space="preserve">ICOSAGONE </t>
  </si>
  <si>
    <t>Etoile à 10 branches (20 faces)</t>
  </si>
  <si>
    <t>Mouvement</t>
  </si>
  <si>
    <t>Sorties</t>
  </si>
  <si>
    <t>Entrées</t>
  </si>
  <si>
    <t>Delta</t>
  </si>
  <si>
    <t>Base Max</t>
  </si>
  <si>
    <t>Écart</t>
  </si>
  <si>
    <t>Formule sorties</t>
  </si>
  <si>
    <t>Formule entrées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</si>
</sst>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8"/>
      <name val="Arial"/>
      <family val="2"/>
    </font>
    <font>
      <b/>
      <sz val="8"/>
      <name val="Wingdings 3"/>
      <family val="1"/>
      <charset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5" fillId="0" borderId="2" xfId="0" applyFont="1" applyBorder="1" applyAlignment="1">
      <alignment vertical="center" wrapText="1"/>
    </xf>
    <xf numFmtId="0" fontId="0" fillId="0" borderId="7" xfId="0" applyBorder="1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8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8" fillId="3" borderId="10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10" xfId="0" applyBorder="1"/>
    <xf numFmtId="0" fontId="7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FFAC-6868-45DB-8686-29776CA4661D}">
  <sheetPr>
    <pageSetUpPr fitToPage="1"/>
  </sheetPr>
  <dimension ref="A1:P84"/>
  <sheetViews>
    <sheetView tabSelected="1" topLeftCell="A56" zoomScaleNormal="100" workbookViewId="0">
      <selection activeCell="A68" sqref="A68"/>
    </sheetView>
  </sheetViews>
  <sheetFormatPr baseColWidth="10" defaultRowHeight="15" x14ac:dyDescent="0.25"/>
  <cols>
    <col min="4" max="4" width="4.140625" customWidth="1"/>
    <col min="6" max="7" width="11.42578125" style="22"/>
  </cols>
  <sheetData>
    <row r="1" spans="1:16" ht="15.75" customHeight="1" thickBot="1" x14ac:dyDescent="0.3"/>
    <row r="2" spans="1:16" ht="15" customHeight="1" x14ac:dyDescent="0.25">
      <c r="A2" s="4" t="s">
        <v>2</v>
      </c>
      <c r="B2" s="5"/>
      <c r="C2" s="5"/>
      <c r="D2" s="5"/>
      <c r="E2" s="6"/>
      <c r="F2" s="23"/>
      <c r="G2" s="23"/>
    </row>
    <row r="3" spans="1:16" ht="15.75" customHeight="1" thickBot="1" x14ac:dyDescent="0.3">
      <c r="A3" s="7" t="s">
        <v>3</v>
      </c>
      <c r="B3" s="8"/>
      <c r="C3" s="8"/>
      <c r="D3" s="8"/>
      <c r="E3" s="9"/>
      <c r="F3" s="23"/>
      <c r="G3" s="23"/>
      <c r="I3" s="15" t="s">
        <v>5</v>
      </c>
      <c r="J3" s="15" t="s">
        <v>6</v>
      </c>
      <c r="K3" s="15" t="s">
        <v>7</v>
      </c>
      <c r="L3" s="15" t="s">
        <v>8</v>
      </c>
      <c r="M3" s="15" t="s">
        <v>9</v>
      </c>
      <c r="N3" s="15" t="s">
        <v>10</v>
      </c>
      <c r="O3" s="15" t="s">
        <v>11</v>
      </c>
      <c r="P3" s="16"/>
    </row>
    <row r="4" spans="1:16" ht="15.75" customHeight="1" thickBot="1" x14ac:dyDescent="0.3">
      <c r="A4" s="10" t="s">
        <v>1</v>
      </c>
      <c r="B4" s="11" t="s">
        <v>0</v>
      </c>
      <c r="C4" s="12" t="s">
        <v>4</v>
      </c>
      <c r="D4" s="13"/>
      <c r="E4" s="14"/>
      <c r="F4" s="23"/>
      <c r="G4" s="23"/>
      <c r="I4" s="17"/>
      <c r="J4" s="17"/>
      <c r="K4" s="17"/>
      <c r="L4" s="17"/>
      <c r="M4" s="17"/>
      <c r="N4" s="17"/>
      <c r="O4" s="17"/>
      <c r="P4" s="18" t="s">
        <v>0</v>
      </c>
    </row>
    <row r="5" spans="1:16" ht="15.75" customHeight="1" thickBot="1" x14ac:dyDescent="0.3">
      <c r="A5" s="1">
        <v>1</v>
      </c>
      <c r="B5" s="2">
        <v>2</v>
      </c>
      <c r="C5" s="2">
        <v>80</v>
      </c>
      <c r="D5" s="3" t="str">
        <f>IF(C5/2 = ROUND(C5/2,0),REPT("P",1),REPT("Q",1))</f>
        <v>P</v>
      </c>
      <c r="E5" s="2">
        <v>2</v>
      </c>
      <c r="F5" s="20"/>
      <c r="G5" s="20"/>
      <c r="I5" s="19">
        <f>COUNTIF(sorties,A5)</f>
        <v>1</v>
      </c>
      <c r="J5" s="19">
        <f>COUNTIF(Entrées,A5)</f>
        <v>1</v>
      </c>
      <c r="K5" s="19">
        <f t="shared" ref="K5" si="0">J5-I5</f>
        <v>0</v>
      </c>
      <c r="L5" s="19">
        <f>3-K5</f>
        <v>3</v>
      </c>
      <c r="M5" s="19">
        <f>B5-L5</f>
        <v>-1</v>
      </c>
      <c r="N5" s="19">
        <f>COUNTIF(sorties,A5)</f>
        <v>1</v>
      </c>
      <c r="O5" s="19">
        <f>COUNTIF(Entrées,E5)</f>
        <v>1</v>
      </c>
      <c r="P5">
        <f>+L5+M5</f>
        <v>2</v>
      </c>
    </row>
    <row r="6" spans="1:16" ht="15.75" customHeight="1" thickBot="1" x14ac:dyDescent="0.3">
      <c r="A6" s="1">
        <v>2</v>
      </c>
      <c r="B6" s="2">
        <v>2</v>
      </c>
      <c r="C6" s="2">
        <v>3</v>
      </c>
      <c r="D6" s="3" t="str">
        <f t="shared" ref="D6:D69" si="1">IF(C6/2 = ROUND(C6/2,0),REPT("P",1),REPT("Q",1))</f>
        <v>Q</v>
      </c>
      <c r="E6" s="2">
        <v>79</v>
      </c>
      <c r="F6" s="20"/>
      <c r="G6" s="20"/>
      <c r="I6" s="19">
        <f>COUNTIF(sorties,A6)</f>
        <v>1</v>
      </c>
      <c r="J6" s="19">
        <f>COUNTIF(Entrées,A6)</f>
        <v>1</v>
      </c>
      <c r="K6" s="19">
        <f t="shared" ref="K6:K69" si="2">J6-I6</f>
        <v>0</v>
      </c>
      <c r="L6" s="19">
        <f t="shared" ref="L6:L69" si="3">3-K6</f>
        <v>3</v>
      </c>
      <c r="M6" s="19">
        <f t="shared" ref="M6:M69" si="4">B6-L6</f>
        <v>-1</v>
      </c>
      <c r="N6" s="19">
        <f>COUNTIF(sorties,A6)</f>
        <v>1</v>
      </c>
      <c r="O6" s="19">
        <f>COUNTIF(Entrées,E6)</f>
        <v>1</v>
      </c>
      <c r="P6">
        <f t="shared" ref="P6:P69" si="5">+L6+M6</f>
        <v>2</v>
      </c>
    </row>
    <row r="7" spans="1:16" ht="15.75" customHeight="1" thickBot="1" x14ac:dyDescent="0.3">
      <c r="A7" s="1">
        <v>3</v>
      </c>
      <c r="B7" s="2">
        <v>2</v>
      </c>
      <c r="C7" s="2">
        <v>78</v>
      </c>
      <c r="D7" s="3" t="str">
        <f t="shared" si="1"/>
        <v>P</v>
      </c>
      <c r="E7" s="2">
        <v>4</v>
      </c>
      <c r="F7" s="20"/>
      <c r="G7" s="20"/>
      <c r="I7" s="19">
        <f>COUNTIF(sorties,A7)</f>
        <v>1</v>
      </c>
      <c r="J7" s="19">
        <f>COUNTIF(Entrées,A7)</f>
        <v>1</v>
      </c>
      <c r="K7" s="19">
        <f t="shared" si="2"/>
        <v>0</v>
      </c>
      <c r="L7" s="19">
        <f t="shared" si="3"/>
        <v>3</v>
      </c>
      <c r="M7" s="19">
        <f t="shared" si="4"/>
        <v>-1</v>
      </c>
      <c r="N7" s="19">
        <f>COUNTIF(sorties,A7)</f>
        <v>1</v>
      </c>
      <c r="O7" s="19">
        <f>COUNTIF(Entrées,E7)</f>
        <v>1</v>
      </c>
      <c r="P7">
        <f t="shared" si="5"/>
        <v>2</v>
      </c>
    </row>
    <row r="8" spans="1:16" ht="15.75" customHeight="1" thickBot="1" x14ac:dyDescent="0.3">
      <c r="A8" s="1">
        <v>4</v>
      </c>
      <c r="B8" s="2">
        <v>2</v>
      </c>
      <c r="C8" s="2">
        <v>5</v>
      </c>
      <c r="D8" s="3" t="str">
        <f t="shared" si="1"/>
        <v>Q</v>
      </c>
      <c r="E8" s="2">
        <v>77</v>
      </c>
      <c r="F8" s="20"/>
      <c r="G8" s="20"/>
      <c r="I8" s="19">
        <f>COUNTIF(sorties,A8)</f>
        <v>1</v>
      </c>
      <c r="J8" s="19">
        <f>COUNTIF(Entrées,A8)</f>
        <v>1</v>
      </c>
      <c r="K8" s="19">
        <f t="shared" si="2"/>
        <v>0</v>
      </c>
      <c r="L8" s="19">
        <f t="shared" si="3"/>
        <v>3</v>
      </c>
      <c r="M8" s="19">
        <f t="shared" si="4"/>
        <v>-1</v>
      </c>
      <c r="N8" s="19">
        <f>COUNTIF(sorties,A8)</f>
        <v>1</v>
      </c>
      <c r="O8" s="19">
        <f>COUNTIF(Entrées,E8)</f>
        <v>1</v>
      </c>
      <c r="P8">
        <f t="shared" si="5"/>
        <v>2</v>
      </c>
    </row>
    <row r="9" spans="1:16" ht="15.75" customHeight="1" thickBot="1" x14ac:dyDescent="0.3">
      <c r="A9" s="1">
        <v>5</v>
      </c>
      <c r="B9" s="2">
        <v>2</v>
      </c>
      <c r="C9" s="2">
        <v>65</v>
      </c>
      <c r="D9" s="3" t="str">
        <f t="shared" si="1"/>
        <v>Q</v>
      </c>
      <c r="E9" s="2">
        <v>17</v>
      </c>
      <c r="F9" s="21"/>
      <c r="G9" s="21"/>
      <c r="I9" s="19">
        <f>COUNTIF(sorties,A9)</f>
        <v>1</v>
      </c>
      <c r="J9" s="19">
        <f>COUNTIF(Entrées,A9)</f>
        <v>1</v>
      </c>
      <c r="K9" s="19">
        <f t="shared" si="2"/>
        <v>0</v>
      </c>
      <c r="L9" s="19">
        <f t="shared" si="3"/>
        <v>3</v>
      </c>
      <c r="M9" s="19">
        <f t="shared" si="4"/>
        <v>-1</v>
      </c>
      <c r="N9" s="19">
        <f>COUNTIF(sorties,A9)</f>
        <v>1</v>
      </c>
      <c r="O9" s="19">
        <f>COUNTIF(Entrées,E9)</f>
        <v>1</v>
      </c>
      <c r="P9">
        <f t="shared" si="5"/>
        <v>2</v>
      </c>
    </row>
    <row r="10" spans="1:16" ht="15.75" customHeight="1" thickBot="1" x14ac:dyDescent="0.3">
      <c r="A10" s="1">
        <v>6</v>
      </c>
      <c r="B10" s="2">
        <v>2</v>
      </c>
      <c r="C10" s="2">
        <v>18</v>
      </c>
      <c r="D10" s="3" t="str">
        <f t="shared" si="1"/>
        <v>P</v>
      </c>
      <c r="E10" s="2">
        <v>64</v>
      </c>
      <c r="F10" s="21"/>
      <c r="G10" s="21"/>
      <c r="I10" s="19">
        <f>COUNTIF(sorties,A10)</f>
        <v>1</v>
      </c>
      <c r="J10" s="19">
        <f>COUNTIF(Entrées,A10)</f>
        <v>1</v>
      </c>
      <c r="K10" s="19">
        <f t="shared" si="2"/>
        <v>0</v>
      </c>
      <c r="L10" s="19">
        <f t="shared" si="3"/>
        <v>3</v>
      </c>
      <c r="M10" s="19">
        <f t="shared" si="4"/>
        <v>-1</v>
      </c>
      <c r="N10" s="19">
        <f>COUNTIF(sorties,A10)</f>
        <v>1</v>
      </c>
      <c r="O10" s="19">
        <f>COUNTIF(Entrées,E10)</f>
        <v>1</v>
      </c>
      <c r="P10">
        <f t="shared" si="5"/>
        <v>2</v>
      </c>
    </row>
    <row r="11" spans="1:16" ht="15.75" customHeight="1" thickBot="1" x14ac:dyDescent="0.3">
      <c r="A11" s="1">
        <v>7</v>
      </c>
      <c r="B11" s="2">
        <v>2</v>
      </c>
      <c r="C11" s="2">
        <v>63</v>
      </c>
      <c r="D11" s="3" t="str">
        <f t="shared" si="1"/>
        <v>Q</v>
      </c>
      <c r="E11" s="2">
        <v>19</v>
      </c>
      <c r="F11" s="21"/>
      <c r="G11" s="21"/>
      <c r="I11" s="19">
        <f>COUNTIF(sorties,A11)</f>
        <v>1</v>
      </c>
      <c r="J11" s="19">
        <f>COUNTIF(Entrées,A11)</f>
        <v>1</v>
      </c>
      <c r="K11" s="19">
        <f t="shared" si="2"/>
        <v>0</v>
      </c>
      <c r="L11" s="19">
        <f t="shared" si="3"/>
        <v>3</v>
      </c>
      <c r="M11" s="19">
        <f t="shared" si="4"/>
        <v>-1</v>
      </c>
      <c r="N11" s="19">
        <f>COUNTIF(sorties,A11)</f>
        <v>1</v>
      </c>
      <c r="O11" s="19">
        <f>COUNTIF(Entrées,E11)</f>
        <v>1</v>
      </c>
      <c r="P11">
        <f t="shared" si="5"/>
        <v>2</v>
      </c>
    </row>
    <row r="12" spans="1:16" ht="15.75" customHeight="1" thickBot="1" x14ac:dyDescent="0.3">
      <c r="A12" s="1">
        <v>8</v>
      </c>
      <c r="B12" s="2">
        <v>2</v>
      </c>
      <c r="C12" s="2">
        <v>20</v>
      </c>
      <c r="D12" s="3" t="str">
        <f t="shared" si="1"/>
        <v>P</v>
      </c>
      <c r="E12" s="2">
        <v>62</v>
      </c>
      <c r="F12" s="21"/>
      <c r="G12" s="21"/>
      <c r="I12" s="19">
        <f>COUNTIF(sorties,A12)</f>
        <v>1</v>
      </c>
      <c r="J12" s="19">
        <f>COUNTIF(Entrées,A12)</f>
        <v>1</v>
      </c>
      <c r="K12" s="19">
        <f t="shared" si="2"/>
        <v>0</v>
      </c>
      <c r="L12" s="19">
        <f t="shared" si="3"/>
        <v>3</v>
      </c>
      <c r="M12" s="19">
        <f t="shared" si="4"/>
        <v>-1</v>
      </c>
      <c r="N12" s="19">
        <f>COUNTIF(sorties,A12)</f>
        <v>1</v>
      </c>
      <c r="O12" s="19">
        <f>COUNTIF(Entrées,E12)</f>
        <v>1</v>
      </c>
      <c r="P12">
        <f t="shared" si="5"/>
        <v>2</v>
      </c>
    </row>
    <row r="13" spans="1:16" ht="15.75" customHeight="1" thickBot="1" x14ac:dyDescent="0.3">
      <c r="A13" s="1">
        <v>9</v>
      </c>
      <c r="B13" s="2">
        <v>2</v>
      </c>
      <c r="C13" s="2">
        <v>8</v>
      </c>
      <c r="D13" s="3" t="str">
        <f t="shared" si="1"/>
        <v>P</v>
      </c>
      <c r="E13" s="2">
        <v>10</v>
      </c>
      <c r="F13" s="20"/>
      <c r="G13" s="20"/>
      <c r="I13" s="19">
        <f>COUNTIF(sorties,A13)</f>
        <v>1</v>
      </c>
      <c r="J13" s="19">
        <f>COUNTIF(Entrées,A13)</f>
        <v>1</v>
      </c>
      <c r="K13" s="19">
        <f t="shared" si="2"/>
        <v>0</v>
      </c>
      <c r="L13" s="19">
        <f t="shared" si="3"/>
        <v>3</v>
      </c>
      <c r="M13" s="19">
        <f t="shared" si="4"/>
        <v>-1</v>
      </c>
      <c r="N13" s="19">
        <f>COUNTIF(sorties,A13)</f>
        <v>1</v>
      </c>
      <c r="O13" s="19">
        <f>COUNTIF(Entrées,E13)</f>
        <v>1</v>
      </c>
      <c r="P13">
        <f t="shared" si="5"/>
        <v>2</v>
      </c>
    </row>
    <row r="14" spans="1:16" ht="15.75" customHeight="1" thickBot="1" x14ac:dyDescent="0.3">
      <c r="A14" s="1">
        <v>10</v>
      </c>
      <c r="B14" s="2">
        <v>2</v>
      </c>
      <c r="C14" s="2">
        <v>11</v>
      </c>
      <c r="D14" s="3" t="str">
        <f t="shared" si="1"/>
        <v>Q</v>
      </c>
      <c r="E14" s="2">
        <v>7</v>
      </c>
      <c r="F14" s="20"/>
      <c r="G14" s="20"/>
      <c r="I14" s="19">
        <f>COUNTIF(sorties,A14)</f>
        <v>1</v>
      </c>
      <c r="J14" s="19">
        <f>COUNTIF(Entrées,A14)</f>
        <v>1</v>
      </c>
      <c r="K14" s="19">
        <f t="shared" si="2"/>
        <v>0</v>
      </c>
      <c r="L14" s="19">
        <f t="shared" si="3"/>
        <v>3</v>
      </c>
      <c r="M14" s="19">
        <f t="shared" si="4"/>
        <v>-1</v>
      </c>
      <c r="N14" s="19">
        <f>COUNTIF(sorties,A14)</f>
        <v>1</v>
      </c>
      <c r="O14" s="19">
        <f>COUNTIF(Entrées,E14)</f>
        <v>1</v>
      </c>
      <c r="P14">
        <f t="shared" si="5"/>
        <v>2</v>
      </c>
    </row>
    <row r="15" spans="1:16" ht="15.75" customHeight="1" thickBot="1" x14ac:dyDescent="0.3">
      <c r="A15" s="1">
        <v>11</v>
      </c>
      <c r="B15" s="2">
        <v>2</v>
      </c>
      <c r="C15" s="2">
        <v>6</v>
      </c>
      <c r="D15" s="3" t="str">
        <f t="shared" si="1"/>
        <v>P</v>
      </c>
      <c r="E15" s="2">
        <v>12</v>
      </c>
      <c r="F15" s="20"/>
      <c r="G15" s="20"/>
      <c r="I15" s="19">
        <f>COUNTIF(sorties,A15)</f>
        <v>1</v>
      </c>
      <c r="J15" s="19">
        <f>COUNTIF(Entrées,A15)</f>
        <v>1</v>
      </c>
      <c r="K15" s="19">
        <f t="shared" si="2"/>
        <v>0</v>
      </c>
      <c r="L15" s="19">
        <f t="shared" si="3"/>
        <v>3</v>
      </c>
      <c r="M15" s="19">
        <f t="shared" si="4"/>
        <v>-1</v>
      </c>
      <c r="N15" s="19">
        <f>COUNTIF(sorties,A15)</f>
        <v>1</v>
      </c>
      <c r="O15" s="19">
        <f>COUNTIF(Entrées,E15)</f>
        <v>1</v>
      </c>
      <c r="P15">
        <f t="shared" si="5"/>
        <v>2</v>
      </c>
    </row>
    <row r="16" spans="1:16" ht="15.75" customHeight="1" thickBot="1" x14ac:dyDescent="0.3">
      <c r="A16" s="1">
        <v>12</v>
      </c>
      <c r="B16" s="2">
        <v>2</v>
      </c>
      <c r="C16" s="2">
        <v>13</v>
      </c>
      <c r="D16" s="3" t="str">
        <f t="shared" si="1"/>
        <v>Q</v>
      </c>
      <c r="E16" s="2">
        <v>5</v>
      </c>
      <c r="F16" s="20"/>
      <c r="G16" s="20"/>
      <c r="I16" s="19">
        <f>COUNTIF(sorties,A16)</f>
        <v>1</v>
      </c>
      <c r="J16" s="19">
        <f>COUNTIF(Entrées,A16)</f>
        <v>1</v>
      </c>
      <c r="K16" s="19">
        <f t="shared" si="2"/>
        <v>0</v>
      </c>
      <c r="L16" s="19">
        <f t="shared" si="3"/>
        <v>3</v>
      </c>
      <c r="M16" s="19">
        <f t="shared" si="4"/>
        <v>-1</v>
      </c>
      <c r="N16" s="19">
        <f>COUNTIF(sorties,A16)</f>
        <v>1</v>
      </c>
      <c r="O16" s="19">
        <f>COUNTIF(Entrées,E16)</f>
        <v>1</v>
      </c>
      <c r="P16">
        <f t="shared" si="5"/>
        <v>2</v>
      </c>
    </row>
    <row r="17" spans="1:16" ht="15.75" customHeight="1" thickBot="1" x14ac:dyDescent="0.3">
      <c r="A17" s="1">
        <v>13</v>
      </c>
      <c r="B17" s="2">
        <v>2</v>
      </c>
      <c r="C17" s="2">
        <v>73</v>
      </c>
      <c r="D17" s="3" t="str">
        <f t="shared" si="1"/>
        <v>Q</v>
      </c>
      <c r="E17" s="2">
        <v>25</v>
      </c>
      <c r="F17" s="21"/>
      <c r="G17" s="21"/>
      <c r="I17" s="19">
        <f>COUNTIF(sorties,A17)</f>
        <v>1</v>
      </c>
      <c r="J17" s="19">
        <f>COUNTIF(Entrées,A17)</f>
        <v>1</v>
      </c>
      <c r="K17" s="19">
        <f t="shared" si="2"/>
        <v>0</v>
      </c>
      <c r="L17" s="19">
        <f t="shared" si="3"/>
        <v>3</v>
      </c>
      <c r="M17" s="19">
        <f t="shared" si="4"/>
        <v>-1</v>
      </c>
      <c r="N17" s="19">
        <f>COUNTIF(sorties,A17)</f>
        <v>1</v>
      </c>
      <c r="O17" s="19">
        <f>COUNTIF(Entrées,E17)</f>
        <v>1</v>
      </c>
      <c r="P17">
        <f t="shared" si="5"/>
        <v>2</v>
      </c>
    </row>
    <row r="18" spans="1:16" ht="15.75" customHeight="1" thickBot="1" x14ac:dyDescent="0.3">
      <c r="A18" s="1">
        <v>14</v>
      </c>
      <c r="B18" s="2">
        <v>2</v>
      </c>
      <c r="C18" s="2">
        <v>26</v>
      </c>
      <c r="D18" s="3" t="str">
        <f t="shared" si="1"/>
        <v>P</v>
      </c>
      <c r="E18" s="2">
        <v>72</v>
      </c>
      <c r="F18" s="21"/>
      <c r="G18" s="21"/>
      <c r="I18" s="19">
        <f>COUNTIF(sorties,A18)</f>
        <v>1</v>
      </c>
      <c r="J18" s="19">
        <f>COUNTIF(Entrées,A18)</f>
        <v>1</v>
      </c>
      <c r="K18" s="19">
        <f t="shared" si="2"/>
        <v>0</v>
      </c>
      <c r="L18" s="19">
        <f t="shared" si="3"/>
        <v>3</v>
      </c>
      <c r="M18" s="19">
        <f t="shared" si="4"/>
        <v>-1</v>
      </c>
      <c r="N18" s="19">
        <f>COUNTIF(sorties,A18)</f>
        <v>1</v>
      </c>
      <c r="O18" s="19">
        <f>COUNTIF(Entrées,E18)</f>
        <v>1</v>
      </c>
      <c r="P18">
        <f t="shared" si="5"/>
        <v>2</v>
      </c>
    </row>
    <row r="19" spans="1:16" ht="15.75" customHeight="1" thickBot="1" x14ac:dyDescent="0.3">
      <c r="A19" s="1">
        <v>15</v>
      </c>
      <c r="B19" s="2">
        <v>2</v>
      </c>
      <c r="C19" s="2">
        <v>71</v>
      </c>
      <c r="D19" s="3" t="str">
        <f t="shared" si="1"/>
        <v>Q</v>
      </c>
      <c r="E19" s="2">
        <v>27</v>
      </c>
      <c r="F19" s="21"/>
      <c r="G19" s="21"/>
      <c r="I19" s="19">
        <f>COUNTIF(sorties,A19)</f>
        <v>1</v>
      </c>
      <c r="J19" s="19">
        <f>COUNTIF(Entrées,A19)</f>
        <v>1</v>
      </c>
      <c r="K19" s="19">
        <f t="shared" si="2"/>
        <v>0</v>
      </c>
      <c r="L19" s="19">
        <f t="shared" si="3"/>
        <v>3</v>
      </c>
      <c r="M19" s="19">
        <f t="shared" si="4"/>
        <v>-1</v>
      </c>
      <c r="N19" s="19">
        <f>COUNTIF(sorties,A19)</f>
        <v>1</v>
      </c>
      <c r="O19" s="19">
        <f>COUNTIF(Entrées,E19)</f>
        <v>1</v>
      </c>
      <c r="P19">
        <f t="shared" si="5"/>
        <v>2</v>
      </c>
    </row>
    <row r="20" spans="1:16" ht="15.75" customHeight="1" thickBot="1" x14ac:dyDescent="0.3">
      <c r="A20" s="1">
        <v>16</v>
      </c>
      <c r="B20" s="2">
        <v>2</v>
      </c>
      <c r="C20" s="2">
        <v>28</v>
      </c>
      <c r="D20" s="3" t="str">
        <f t="shared" si="1"/>
        <v>P</v>
      </c>
      <c r="E20" s="2">
        <v>70</v>
      </c>
      <c r="F20" s="21"/>
      <c r="G20" s="21"/>
      <c r="I20" s="19">
        <f>COUNTIF(sorties,A20)</f>
        <v>1</v>
      </c>
      <c r="J20" s="19">
        <f>COUNTIF(Entrées,A20)</f>
        <v>1</v>
      </c>
      <c r="K20" s="19">
        <f t="shared" si="2"/>
        <v>0</v>
      </c>
      <c r="L20" s="19">
        <f t="shared" si="3"/>
        <v>3</v>
      </c>
      <c r="M20" s="19">
        <f t="shared" si="4"/>
        <v>-1</v>
      </c>
      <c r="N20" s="19">
        <f>COUNTIF(sorties,A20)</f>
        <v>1</v>
      </c>
      <c r="O20" s="19">
        <f>COUNTIF(Entrées,E20)</f>
        <v>1</v>
      </c>
      <c r="P20">
        <f t="shared" si="5"/>
        <v>2</v>
      </c>
    </row>
    <row r="21" spans="1:16" ht="15.75" customHeight="1" thickBot="1" x14ac:dyDescent="0.3">
      <c r="A21" s="1">
        <v>17</v>
      </c>
      <c r="B21" s="2">
        <v>2</v>
      </c>
      <c r="C21" s="2">
        <v>16</v>
      </c>
      <c r="D21" s="3" t="str">
        <f t="shared" si="1"/>
        <v>P</v>
      </c>
      <c r="E21" s="2">
        <v>18</v>
      </c>
      <c r="F21" s="20"/>
      <c r="G21" s="20"/>
      <c r="I21" s="19">
        <f>COUNTIF(sorties,A21)</f>
        <v>1</v>
      </c>
      <c r="J21" s="19">
        <f>COUNTIF(Entrées,A21)</f>
        <v>1</v>
      </c>
      <c r="K21" s="19">
        <f t="shared" si="2"/>
        <v>0</v>
      </c>
      <c r="L21" s="19">
        <f t="shared" si="3"/>
        <v>3</v>
      </c>
      <c r="M21" s="19">
        <f t="shared" si="4"/>
        <v>-1</v>
      </c>
      <c r="N21" s="19">
        <f>COUNTIF(sorties,A21)</f>
        <v>1</v>
      </c>
      <c r="O21" s="19">
        <f>COUNTIF(Entrées,E21)</f>
        <v>1</v>
      </c>
      <c r="P21">
        <f t="shared" si="5"/>
        <v>2</v>
      </c>
    </row>
    <row r="22" spans="1:16" ht="15.75" customHeight="1" thickBot="1" x14ac:dyDescent="0.3">
      <c r="A22" s="1">
        <v>18</v>
      </c>
      <c r="B22" s="2">
        <v>2</v>
      </c>
      <c r="C22" s="2">
        <v>19</v>
      </c>
      <c r="D22" s="3" t="str">
        <f t="shared" si="1"/>
        <v>Q</v>
      </c>
      <c r="E22" s="2">
        <v>15</v>
      </c>
      <c r="F22" s="20"/>
      <c r="G22" s="20"/>
      <c r="I22" s="19">
        <f>COUNTIF(sorties,A22)</f>
        <v>1</v>
      </c>
      <c r="J22" s="19">
        <f>COUNTIF(Entrées,A22)</f>
        <v>1</v>
      </c>
      <c r="K22" s="19">
        <f t="shared" si="2"/>
        <v>0</v>
      </c>
      <c r="L22" s="19">
        <f t="shared" si="3"/>
        <v>3</v>
      </c>
      <c r="M22" s="19">
        <f t="shared" si="4"/>
        <v>-1</v>
      </c>
      <c r="N22" s="19">
        <f>COUNTIF(sorties,A22)</f>
        <v>1</v>
      </c>
      <c r="O22" s="19">
        <f>COUNTIF(Entrées,E22)</f>
        <v>1</v>
      </c>
      <c r="P22">
        <f t="shared" si="5"/>
        <v>2</v>
      </c>
    </row>
    <row r="23" spans="1:16" ht="15.75" customHeight="1" thickBot="1" x14ac:dyDescent="0.3">
      <c r="A23" s="1">
        <v>19</v>
      </c>
      <c r="B23" s="2">
        <v>2</v>
      </c>
      <c r="C23" s="2">
        <v>14</v>
      </c>
      <c r="D23" s="3" t="str">
        <f t="shared" si="1"/>
        <v>P</v>
      </c>
      <c r="E23" s="2">
        <v>20</v>
      </c>
      <c r="F23" s="20"/>
      <c r="G23" s="20"/>
      <c r="I23" s="19">
        <f>COUNTIF(sorties,A23)</f>
        <v>1</v>
      </c>
      <c r="J23" s="19">
        <f>COUNTIF(Entrées,A23)</f>
        <v>1</v>
      </c>
      <c r="K23" s="19">
        <f t="shared" si="2"/>
        <v>0</v>
      </c>
      <c r="L23" s="19">
        <f t="shared" si="3"/>
        <v>3</v>
      </c>
      <c r="M23" s="19">
        <f t="shared" si="4"/>
        <v>-1</v>
      </c>
      <c r="N23" s="19">
        <f>COUNTIF(sorties,A23)</f>
        <v>1</v>
      </c>
      <c r="O23" s="19">
        <f>COUNTIF(Entrées,E23)</f>
        <v>1</v>
      </c>
      <c r="P23">
        <f t="shared" si="5"/>
        <v>2</v>
      </c>
    </row>
    <row r="24" spans="1:16" ht="15.75" customHeight="1" thickBot="1" x14ac:dyDescent="0.3">
      <c r="A24" s="1">
        <v>20</v>
      </c>
      <c r="B24" s="2">
        <v>2</v>
      </c>
      <c r="C24" s="2">
        <v>21</v>
      </c>
      <c r="D24" s="3" t="str">
        <f t="shared" si="1"/>
        <v>Q</v>
      </c>
      <c r="E24" s="2">
        <v>13</v>
      </c>
      <c r="F24" s="20"/>
      <c r="G24" s="20"/>
      <c r="I24" s="19">
        <f>COUNTIF(sorties,A24)</f>
        <v>1</v>
      </c>
      <c r="J24" s="19">
        <f>COUNTIF(Entrées,A24)</f>
        <v>1</v>
      </c>
      <c r="K24" s="19">
        <f t="shared" si="2"/>
        <v>0</v>
      </c>
      <c r="L24" s="19">
        <f t="shared" si="3"/>
        <v>3</v>
      </c>
      <c r="M24" s="19">
        <f t="shared" si="4"/>
        <v>-1</v>
      </c>
      <c r="N24" s="19">
        <f>COUNTIF(sorties,A24)</f>
        <v>1</v>
      </c>
      <c r="O24" s="19">
        <f>COUNTIF(Entrées,E24)</f>
        <v>1</v>
      </c>
      <c r="P24">
        <f t="shared" si="5"/>
        <v>2</v>
      </c>
    </row>
    <row r="25" spans="1:16" ht="15.75" customHeight="1" thickBot="1" x14ac:dyDescent="0.3">
      <c r="A25" s="1">
        <v>21</v>
      </c>
      <c r="B25" s="2">
        <v>2</v>
      </c>
      <c r="C25" s="2">
        <v>1</v>
      </c>
      <c r="D25" s="3" t="str">
        <f t="shared" si="1"/>
        <v>Q</v>
      </c>
      <c r="E25" s="2">
        <v>33</v>
      </c>
      <c r="F25" s="21"/>
      <c r="G25" s="21"/>
      <c r="I25" s="19">
        <f>COUNTIF(sorties,A25)</f>
        <v>1</v>
      </c>
      <c r="J25" s="19">
        <f>COUNTIF(Entrées,A25)</f>
        <v>1</v>
      </c>
      <c r="K25" s="19">
        <f t="shared" si="2"/>
        <v>0</v>
      </c>
      <c r="L25" s="19">
        <f t="shared" si="3"/>
        <v>3</v>
      </c>
      <c r="M25" s="19">
        <f t="shared" si="4"/>
        <v>-1</v>
      </c>
      <c r="N25" s="19">
        <f>COUNTIF(sorties,A25)</f>
        <v>1</v>
      </c>
      <c r="O25" s="19">
        <f>COUNTIF(Entrées,E25)</f>
        <v>1</v>
      </c>
      <c r="P25">
        <f t="shared" si="5"/>
        <v>2</v>
      </c>
    </row>
    <row r="26" spans="1:16" ht="15.75" customHeight="1" thickBot="1" x14ac:dyDescent="0.3">
      <c r="A26" s="1">
        <v>22</v>
      </c>
      <c r="B26" s="2">
        <v>2</v>
      </c>
      <c r="C26" s="2">
        <v>34</v>
      </c>
      <c r="D26" s="3" t="str">
        <f t="shared" si="1"/>
        <v>P</v>
      </c>
      <c r="E26" s="2">
        <v>80</v>
      </c>
      <c r="F26" s="21"/>
      <c r="G26" s="21"/>
      <c r="I26" s="19">
        <f>COUNTIF(sorties,A26)</f>
        <v>1</v>
      </c>
      <c r="J26" s="19">
        <f>COUNTIF(Entrées,A26)</f>
        <v>1</v>
      </c>
      <c r="K26" s="19">
        <f t="shared" si="2"/>
        <v>0</v>
      </c>
      <c r="L26" s="19">
        <f t="shared" si="3"/>
        <v>3</v>
      </c>
      <c r="M26" s="19">
        <f t="shared" si="4"/>
        <v>-1</v>
      </c>
      <c r="N26" s="19">
        <f>COUNTIF(sorties,A26)</f>
        <v>1</v>
      </c>
      <c r="O26" s="19">
        <f>COUNTIF(Entrées,E26)</f>
        <v>1</v>
      </c>
      <c r="P26">
        <f t="shared" si="5"/>
        <v>2</v>
      </c>
    </row>
    <row r="27" spans="1:16" ht="15.75" customHeight="1" thickBot="1" x14ac:dyDescent="0.3">
      <c r="A27" s="1">
        <v>23</v>
      </c>
      <c r="B27" s="2">
        <v>2</v>
      </c>
      <c r="C27" s="2">
        <v>79</v>
      </c>
      <c r="D27" s="3" t="str">
        <f t="shared" si="1"/>
        <v>Q</v>
      </c>
      <c r="E27" s="2">
        <v>35</v>
      </c>
      <c r="F27" s="21"/>
      <c r="G27" s="21"/>
      <c r="I27" s="19">
        <f>COUNTIF(sorties,A27)</f>
        <v>1</v>
      </c>
      <c r="J27" s="19">
        <f>COUNTIF(Entrées,A27)</f>
        <v>1</v>
      </c>
      <c r="K27" s="19">
        <f t="shared" si="2"/>
        <v>0</v>
      </c>
      <c r="L27" s="19">
        <f t="shared" si="3"/>
        <v>3</v>
      </c>
      <c r="M27" s="19">
        <f t="shared" si="4"/>
        <v>-1</v>
      </c>
      <c r="N27" s="19">
        <f>COUNTIF(sorties,A27)</f>
        <v>1</v>
      </c>
      <c r="O27" s="19">
        <f>COUNTIF(Entrées,E27)</f>
        <v>1</v>
      </c>
      <c r="P27">
        <f t="shared" si="5"/>
        <v>2</v>
      </c>
    </row>
    <row r="28" spans="1:16" ht="15.75" customHeight="1" thickBot="1" x14ac:dyDescent="0.3">
      <c r="A28" s="1">
        <v>24</v>
      </c>
      <c r="B28" s="2">
        <v>2</v>
      </c>
      <c r="C28" s="2">
        <v>36</v>
      </c>
      <c r="D28" s="3" t="str">
        <f t="shared" si="1"/>
        <v>P</v>
      </c>
      <c r="E28" s="2">
        <v>78</v>
      </c>
      <c r="F28" s="21"/>
      <c r="G28" s="21"/>
      <c r="I28" s="19">
        <f>COUNTIF(sorties,A28)</f>
        <v>1</v>
      </c>
      <c r="J28" s="19">
        <f>COUNTIF(Entrées,A28)</f>
        <v>1</v>
      </c>
      <c r="K28" s="19">
        <f t="shared" si="2"/>
        <v>0</v>
      </c>
      <c r="L28" s="19">
        <f t="shared" si="3"/>
        <v>3</v>
      </c>
      <c r="M28" s="19">
        <f t="shared" si="4"/>
        <v>-1</v>
      </c>
      <c r="N28" s="19">
        <f>COUNTIF(sorties,A28)</f>
        <v>1</v>
      </c>
      <c r="O28" s="19">
        <f>COUNTIF(Entrées,E28)</f>
        <v>1</v>
      </c>
      <c r="P28">
        <f t="shared" si="5"/>
        <v>2</v>
      </c>
    </row>
    <row r="29" spans="1:16" ht="15.75" customHeight="1" thickBot="1" x14ac:dyDescent="0.3">
      <c r="A29" s="1">
        <v>25</v>
      </c>
      <c r="B29" s="2">
        <v>2</v>
      </c>
      <c r="C29" s="2">
        <v>24</v>
      </c>
      <c r="D29" s="3" t="str">
        <f t="shared" si="1"/>
        <v>P</v>
      </c>
      <c r="E29" s="2">
        <v>26</v>
      </c>
      <c r="F29" s="20"/>
      <c r="G29" s="20"/>
      <c r="I29" s="19">
        <f>COUNTIF(sorties,A29)</f>
        <v>1</v>
      </c>
      <c r="J29" s="19">
        <f>COUNTIF(Entrées,A29)</f>
        <v>1</v>
      </c>
      <c r="K29" s="19">
        <f t="shared" si="2"/>
        <v>0</v>
      </c>
      <c r="L29" s="19">
        <f t="shared" si="3"/>
        <v>3</v>
      </c>
      <c r="M29" s="19">
        <f t="shared" si="4"/>
        <v>-1</v>
      </c>
      <c r="N29" s="19">
        <f>COUNTIF(sorties,A29)</f>
        <v>1</v>
      </c>
      <c r="O29" s="19">
        <f>COUNTIF(Entrées,E29)</f>
        <v>1</v>
      </c>
      <c r="P29">
        <f t="shared" si="5"/>
        <v>2</v>
      </c>
    </row>
    <row r="30" spans="1:16" ht="15.75" customHeight="1" thickBot="1" x14ac:dyDescent="0.3">
      <c r="A30" s="1">
        <v>26</v>
      </c>
      <c r="B30" s="2">
        <v>2</v>
      </c>
      <c r="C30" s="2">
        <v>27</v>
      </c>
      <c r="D30" s="3" t="str">
        <f t="shared" si="1"/>
        <v>Q</v>
      </c>
      <c r="E30" s="2">
        <v>23</v>
      </c>
      <c r="F30" s="20"/>
      <c r="G30" s="20"/>
      <c r="I30" s="19">
        <f>COUNTIF(sorties,A30)</f>
        <v>1</v>
      </c>
      <c r="J30" s="19">
        <f>COUNTIF(Entrées,A30)</f>
        <v>1</v>
      </c>
      <c r="K30" s="19">
        <f t="shared" si="2"/>
        <v>0</v>
      </c>
      <c r="L30" s="19">
        <f t="shared" si="3"/>
        <v>3</v>
      </c>
      <c r="M30" s="19">
        <f t="shared" si="4"/>
        <v>-1</v>
      </c>
      <c r="N30" s="19">
        <f>COUNTIF(sorties,A30)</f>
        <v>1</v>
      </c>
      <c r="O30" s="19">
        <f>COUNTIF(Entrées,E30)</f>
        <v>1</v>
      </c>
      <c r="P30">
        <f t="shared" si="5"/>
        <v>2</v>
      </c>
    </row>
    <row r="31" spans="1:16" ht="15.75" customHeight="1" thickBot="1" x14ac:dyDescent="0.3">
      <c r="A31" s="1">
        <v>27</v>
      </c>
      <c r="B31" s="2">
        <v>2</v>
      </c>
      <c r="C31" s="2">
        <v>22</v>
      </c>
      <c r="D31" s="3" t="str">
        <f t="shared" si="1"/>
        <v>P</v>
      </c>
      <c r="E31" s="2">
        <v>28</v>
      </c>
      <c r="F31" s="20"/>
      <c r="G31" s="20"/>
      <c r="I31" s="19">
        <f>COUNTIF(sorties,A31)</f>
        <v>1</v>
      </c>
      <c r="J31" s="19">
        <f>COUNTIF(Entrées,A31)</f>
        <v>1</v>
      </c>
      <c r="K31" s="19">
        <f t="shared" si="2"/>
        <v>0</v>
      </c>
      <c r="L31" s="19">
        <f t="shared" si="3"/>
        <v>3</v>
      </c>
      <c r="M31" s="19">
        <f t="shared" si="4"/>
        <v>-1</v>
      </c>
      <c r="N31" s="19">
        <f>COUNTIF(sorties,A31)</f>
        <v>1</v>
      </c>
      <c r="O31" s="19">
        <f>COUNTIF(Entrées,E31)</f>
        <v>1</v>
      </c>
      <c r="P31">
        <f t="shared" si="5"/>
        <v>2</v>
      </c>
    </row>
    <row r="32" spans="1:16" ht="15.75" customHeight="1" thickBot="1" x14ac:dyDescent="0.3">
      <c r="A32" s="1">
        <v>28</v>
      </c>
      <c r="B32" s="2">
        <v>2</v>
      </c>
      <c r="C32" s="2">
        <v>29</v>
      </c>
      <c r="D32" s="3" t="str">
        <f t="shared" si="1"/>
        <v>Q</v>
      </c>
      <c r="E32" s="2">
        <v>21</v>
      </c>
      <c r="F32" s="20"/>
      <c r="G32" s="20"/>
      <c r="I32" s="19">
        <f>COUNTIF(sorties,A32)</f>
        <v>1</v>
      </c>
      <c r="J32" s="19">
        <f>COUNTIF(Entrées,A32)</f>
        <v>1</v>
      </c>
      <c r="K32" s="19">
        <f t="shared" si="2"/>
        <v>0</v>
      </c>
      <c r="L32" s="19">
        <f t="shared" si="3"/>
        <v>3</v>
      </c>
      <c r="M32" s="19">
        <f t="shared" si="4"/>
        <v>-1</v>
      </c>
      <c r="N32" s="19">
        <f>COUNTIF(sorties,A32)</f>
        <v>1</v>
      </c>
      <c r="O32" s="19">
        <f>COUNTIF(Entrées,E32)</f>
        <v>1</v>
      </c>
      <c r="P32">
        <f t="shared" si="5"/>
        <v>2</v>
      </c>
    </row>
    <row r="33" spans="1:16" ht="15.75" customHeight="1" thickBot="1" x14ac:dyDescent="0.3">
      <c r="A33" s="1">
        <v>29</v>
      </c>
      <c r="B33" s="2">
        <v>2</v>
      </c>
      <c r="C33" s="2">
        <v>9</v>
      </c>
      <c r="D33" s="3" t="str">
        <f t="shared" si="1"/>
        <v>Q</v>
      </c>
      <c r="E33" s="2">
        <v>41</v>
      </c>
      <c r="F33" s="21"/>
      <c r="G33" s="21"/>
      <c r="I33" s="19">
        <f>COUNTIF(sorties,A33)</f>
        <v>1</v>
      </c>
      <c r="J33" s="19">
        <f>COUNTIF(Entrées,A33)</f>
        <v>1</v>
      </c>
      <c r="K33" s="19">
        <f t="shared" si="2"/>
        <v>0</v>
      </c>
      <c r="L33" s="19">
        <f t="shared" si="3"/>
        <v>3</v>
      </c>
      <c r="M33" s="19">
        <f t="shared" si="4"/>
        <v>-1</v>
      </c>
      <c r="N33" s="19">
        <f>COUNTIF(sorties,A33)</f>
        <v>1</v>
      </c>
      <c r="O33" s="19">
        <f>COUNTIF(Entrées,E33)</f>
        <v>1</v>
      </c>
      <c r="P33">
        <f t="shared" si="5"/>
        <v>2</v>
      </c>
    </row>
    <row r="34" spans="1:16" ht="15.75" customHeight="1" thickBot="1" x14ac:dyDescent="0.3">
      <c r="A34" s="1">
        <v>30</v>
      </c>
      <c r="B34" s="2">
        <v>2</v>
      </c>
      <c r="C34" s="2">
        <v>42</v>
      </c>
      <c r="D34" s="3" t="str">
        <f t="shared" si="1"/>
        <v>P</v>
      </c>
      <c r="E34" s="2">
        <v>8</v>
      </c>
      <c r="F34" s="21"/>
      <c r="G34" s="21"/>
      <c r="I34" s="19">
        <f>COUNTIF(sorties,A34)</f>
        <v>1</v>
      </c>
      <c r="J34" s="19">
        <f>COUNTIF(Entrées,A34)</f>
        <v>1</v>
      </c>
      <c r="K34" s="19">
        <f t="shared" si="2"/>
        <v>0</v>
      </c>
      <c r="L34" s="19">
        <f t="shared" si="3"/>
        <v>3</v>
      </c>
      <c r="M34" s="19">
        <f t="shared" si="4"/>
        <v>-1</v>
      </c>
      <c r="N34" s="19">
        <f>COUNTIF(sorties,A34)</f>
        <v>1</v>
      </c>
      <c r="O34" s="19">
        <f>COUNTIF(Entrées,E34)</f>
        <v>1</v>
      </c>
      <c r="P34">
        <f t="shared" si="5"/>
        <v>2</v>
      </c>
    </row>
    <row r="35" spans="1:16" ht="15.75" customHeight="1" thickBot="1" x14ac:dyDescent="0.3">
      <c r="A35" s="1">
        <v>31</v>
      </c>
      <c r="B35" s="2">
        <v>2</v>
      </c>
      <c r="C35" s="2">
        <v>7</v>
      </c>
      <c r="D35" s="3" t="str">
        <f t="shared" si="1"/>
        <v>Q</v>
      </c>
      <c r="E35" s="2">
        <v>43</v>
      </c>
      <c r="F35" s="21"/>
      <c r="G35" s="21"/>
      <c r="I35" s="19">
        <f>COUNTIF(sorties,A35)</f>
        <v>1</v>
      </c>
      <c r="J35" s="19">
        <f>COUNTIF(Entrées,A35)</f>
        <v>1</v>
      </c>
      <c r="K35" s="19">
        <f t="shared" si="2"/>
        <v>0</v>
      </c>
      <c r="L35" s="19">
        <f t="shared" si="3"/>
        <v>3</v>
      </c>
      <c r="M35" s="19">
        <f t="shared" si="4"/>
        <v>-1</v>
      </c>
      <c r="N35" s="19">
        <f>COUNTIF(sorties,A35)</f>
        <v>1</v>
      </c>
      <c r="O35" s="19">
        <f>COUNTIF(Entrées,E35)</f>
        <v>1</v>
      </c>
      <c r="P35">
        <f t="shared" si="5"/>
        <v>2</v>
      </c>
    </row>
    <row r="36" spans="1:16" ht="15.75" customHeight="1" thickBot="1" x14ac:dyDescent="0.3">
      <c r="A36" s="1">
        <v>32</v>
      </c>
      <c r="B36" s="2">
        <v>2</v>
      </c>
      <c r="C36" s="2">
        <v>44</v>
      </c>
      <c r="D36" s="3" t="str">
        <f t="shared" si="1"/>
        <v>P</v>
      </c>
      <c r="E36" s="2">
        <v>6</v>
      </c>
      <c r="F36" s="21"/>
      <c r="G36" s="21"/>
      <c r="I36" s="19">
        <f>COUNTIF(sorties,A36)</f>
        <v>1</v>
      </c>
      <c r="J36" s="19">
        <f>COUNTIF(Entrées,A36)</f>
        <v>1</v>
      </c>
      <c r="K36" s="19">
        <f t="shared" si="2"/>
        <v>0</v>
      </c>
      <c r="L36" s="19">
        <f t="shared" si="3"/>
        <v>3</v>
      </c>
      <c r="M36" s="19">
        <f t="shared" si="4"/>
        <v>-1</v>
      </c>
      <c r="N36" s="19">
        <f>COUNTIF(sorties,A36)</f>
        <v>1</v>
      </c>
      <c r="O36" s="19">
        <f>COUNTIF(Entrées,E36)</f>
        <v>1</v>
      </c>
      <c r="P36">
        <f t="shared" si="5"/>
        <v>2</v>
      </c>
    </row>
    <row r="37" spans="1:16" ht="15.75" customHeight="1" thickBot="1" x14ac:dyDescent="0.3">
      <c r="A37" s="1">
        <v>33</v>
      </c>
      <c r="B37" s="2">
        <v>2</v>
      </c>
      <c r="C37" s="2">
        <v>32</v>
      </c>
      <c r="D37" s="3" t="str">
        <f t="shared" si="1"/>
        <v>P</v>
      </c>
      <c r="E37" s="2">
        <v>34</v>
      </c>
      <c r="F37" s="20"/>
      <c r="G37" s="20"/>
      <c r="I37" s="19">
        <f>COUNTIF(sorties,A37)</f>
        <v>1</v>
      </c>
      <c r="J37" s="19">
        <f>COUNTIF(Entrées,A37)</f>
        <v>1</v>
      </c>
      <c r="K37" s="19">
        <f t="shared" si="2"/>
        <v>0</v>
      </c>
      <c r="L37" s="19">
        <f t="shared" si="3"/>
        <v>3</v>
      </c>
      <c r="M37" s="19">
        <f t="shared" si="4"/>
        <v>-1</v>
      </c>
      <c r="N37" s="19">
        <f>COUNTIF(sorties,A37)</f>
        <v>1</v>
      </c>
      <c r="O37" s="19">
        <f>COUNTIF(Entrées,E37)</f>
        <v>1</v>
      </c>
      <c r="P37">
        <f t="shared" si="5"/>
        <v>2</v>
      </c>
    </row>
    <row r="38" spans="1:16" ht="15.75" customHeight="1" thickBot="1" x14ac:dyDescent="0.3">
      <c r="A38" s="1">
        <v>34</v>
      </c>
      <c r="B38" s="2">
        <v>2</v>
      </c>
      <c r="C38" s="2">
        <v>35</v>
      </c>
      <c r="D38" s="3" t="str">
        <f t="shared" si="1"/>
        <v>Q</v>
      </c>
      <c r="E38" s="2">
        <v>31</v>
      </c>
      <c r="F38" s="20"/>
      <c r="G38" s="20"/>
      <c r="I38" s="19">
        <f>COUNTIF(sorties,A38)</f>
        <v>1</v>
      </c>
      <c r="J38" s="19">
        <f>COUNTIF(Entrées,A38)</f>
        <v>1</v>
      </c>
      <c r="K38" s="19">
        <f t="shared" si="2"/>
        <v>0</v>
      </c>
      <c r="L38" s="19">
        <f t="shared" si="3"/>
        <v>3</v>
      </c>
      <c r="M38" s="19">
        <f t="shared" si="4"/>
        <v>-1</v>
      </c>
      <c r="N38" s="19">
        <f>COUNTIF(sorties,A38)</f>
        <v>1</v>
      </c>
      <c r="O38" s="19">
        <f>COUNTIF(Entrées,E38)</f>
        <v>1</v>
      </c>
      <c r="P38">
        <f t="shared" si="5"/>
        <v>2</v>
      </c>
    </row>
    <row r="39" spans="1:16" ht="15.75" customHeight="1" thickBot="1" x14ac:dyDescent="0.3">
      <c r="A39" s="1">
        <v>35</v>
      </c>
      <c r="B39" s="2">
        <v>2</v>
      </c>
      <c r="C39" s="2">
        <v>30</v>
      </c>
      <c r="D39" s="3" t="str">
        <f t="shared" si="1"/>
        <v>P</v>
      </c>
      <c r="E39" s="2">
        <v>36</v>
      </c>
      <c r="F39" s="20"/>
      <c r="G39" s="20"/>
      <c r="I39" s="19">
        <f>COUNTIF(sorties,A39)</f>
        <v>1</v>
      </c>
      <c r="J39" s="19">
        <f>COUNTIF(Entrées,A39)</f>
        <v>1</v>
      </c>
      <c r="K39" s="19">
        <f t="shared" si="2"/>
        <v>0</v>
      </c>
      <c r="L39" s="19">
        <f t="shared" si="3"/>
        <v>3</v>
      </c>
      <c r="M39" s="19">
        <f t="shared" si="4"/>
        <v>-1</v>
      </c>
      <c r="N39" s="19">
        <f>COUNTIF(sorties,A39)</f>
        <v>1</v>
      </c>
      <c r="O39" s="19">
        <f>COUNTIF(Entrées,E39)</f>
        <v>1</v>
      </c>
      <c r="P39">
        <f t="shared" si="5"/>
        <v>2</v>
      </c>
    </row>
    <row r="40" spans="1:16" ht="15.75" customHeight="1" thickBot="1" x14ac:dyDescent="0.3">
      <c r="A40" s="1">
        <v>36</v>
      </c>
      <c r="B40" s="2">
        <v>2</v>
      </c>
      <c r="C40" s="2">
        <v>37</v>
      </c>
      <c r="D40" s="3" t="str">
        <f t="shared" si="1"/>
        <v>Q</v>
      </c>
      <c r="E40" s="2">
        <v>29</v>
      </c>
      <c r="F40" s="20"/>
      <c r="G40" s="20"/>
      <c r="I40" s="19">
        <f>COUNTIF(sorties,A40)</f>
        <v>1</v>
      </c>
      <c r="J40" s="19">
        <f>COUNTIF(Entrées,A40)</f>
        <v>1</v>
      </c>
      <c r="K40" s="19">
        <f t="shared" si="2"/>
        <v>0</v>
      </c>
      <c r="L40" s="19">
        <f t="shared" si="3"/>
        <v>3</v>
      </c>
      <c r="M40" s="19">
        <f t="shared" si="4"/>
        <v>-1</v>
      </c>
      <c r="N40" s="19">
        <f>COUNTIF(sorties,A40)</f>
        <v>1</v>
      </c>
      <c r="O40" s="19">
        <f>COUNTIF(Entrées,E40)</f>
        <v>1</v>
      </c>
      <c r="P40">
        <f t="shared" si="5"/>
        <v>2</v>
      </c>
    </row>
    <row r="41" spans="1:16" ht="15.75" customHeight="1" thickBot="1" x14ac:dyDescent="0.3">
      <c r="A41" s="1">
        <v>37</v>
      </c>
      <c r="B41" s="2">
        <v>2</v>
      </c>
      <c r="C41" s="2">
        <v>17</v>
      </c>
      <c r="D41" s="3" t="str">
        <f t="shared" si="1"/>
        <v>Q</v>
      </c>
      <c r="E41" s="2">
        <v>49</v>
      </c>
      <c r="F41" s="21"/>
      <c r="G41" s="21"/>
      <c r="I41" s="19">
        <f>COUNTIF(sorties,A41)</f>
        <v>1</v>
      </c>
      <c r="J41" s="19">
        <f>COUNTIF(Entrées,A41)</f>
        <v>1</v>
      </c>
      <c r="K41" s="19">
        <f t="shared" si="2"/>
        <v>0</v>
      </c>
      <c r="L41" s="19">
        <f t="shared" si="3"/>
        <v>3</v>
      </c>
      <c r="M41" s="19">
        <f t="shared" si="4"/>
        <v>-1</v>
      </c>
      <c r="N41" s="19">
        <f>COUNTIF(sorties,A41)</f>
        <v>1</v>
      </c>
      <c r="O41" s="19">
        <f>COUNTIF(Entrées,E41)</f>
        <v>1</v>
      </c>
      <c r="P41">
        <f t="shared" si="5"/>
        <v>2</v>
      </c>
    </row>
    <row r="42" spans="1:16" ht="15.75" customHeight="1" thickBot="1" x14ac:dyDescent="0.3">
      <c r="A42" s="1">
        <v>38</v>
      </c>
      <c r="B42" s="2">
        <v>2</v>
      </c>
      <c r="C42" s="2">
        <v>50</v>
      </c>
      <c r="D42" s="3" t="str">
        <f t="shared" si="1"/>
        <v>P</v>
      </c>
      <c r="E42" s="2">
        <v>16</v>
      </c>
      <c r="F42" s="21"/>
      <c r="G42" s="21"/>
      <c r="I42" s="19">
        <f>COUNTIF(sorties,A42)</f>
        <v>1</v>
      </c>
      <c r="J42" s="19">
        <f>COUNTIF(Entrées,A42)</f>
        <v>1</v>
      </c>
      <c r="K42" s="19">
        <f t="shared" si="2"/>
        <v>0</v>
      </c>
      <c r="L42" s="19">
        <f t="shared" si="3"/>
        <v>3</v>
      </c>
      <c r="M42" s="19">
        <f t="shared" si="4"/>
        <v>-1</v>
      </c>
      <c r="N42" s="19">
        <f>COUNTIF(sorties,A42)</f>
        <v>1</v>
      </c>
      <c r="O42" s="19">
        <f>COUNTIF(Entrées,E42)</f>
        <v>1</v>
      </c>
      <c r="P42">
        <f t="shared" si="5"/>
        <v>2</v>
      </c>
    </row>
    <row r="43" spans="1:16" ht="15.75" customHeight="1" thickBot="1" x14ac:dyDescent="0.3">
      <c r="A43" s="1">
        <v>39</v>
      </c>
      <c r="B43" s="2">
        <v>2</v>
      </c>
      <c r="C43" s="2">
        <v>15</v>
      </c>
      <c r="D43" s="3" t="str">
        <f t="shared" si="1"/>
        <v>Q</v>
      </c>
      <c r="E43" s="2">
        <v>51</v>
      </c>
      <c r="F43" s="21"/>
      <c r="G43" s="21"/>
      <c r="I43" s="19">
        <f>COUNTIF(sorties,A43)</f>
        <v>1</v>
      </c>
      <c r="J43" s="19">
        <f>COUNTIF(Entrées,A43)</f>
        <v>1</v>
      </c>
      <c r="K43" s="19">
        <f t="shared" si="2"/>
        <v>0</v>
      </c>
      <c r="L43" s="19">
        <f t="shared" si="3"/>
        <v>3</v>
      </c>
      <c r="M43" s="19">
        <f t="shared" si="4"/>
        <v>-1</v>
      </c>
      <c r="N43" s="19">
        <f>COUNTIF(sorties,A43)</f>
        <v>1</v>
      </c>
      <c r="O43" s="19">
        <f>COUNTIF(Entrées,E43)</f>
        <v>1</v>
      </c>
      <c r="P43">
        <f t="shared" si="5"/>
        <v>2</v>
      </c>
    </row>
    <row r="44" spans="1:16" ht="15.75" customHeight="1" thickBot="1" x14ac:dyDescent="0.3">
      <c r="A44" s="1">
        <v>40</v>
      </c>
      <c r="B44" s="2">
        <v>2</v>
      </c>
      <c r="C44" s="2">
        <v>52</v>
      </c>
      <c r="D44" s="3" t="str">
        <f t="shared" si="1"/>
        <v>P</v>
      </c>
      <c r="E44" s="2">
        <v>14</v>
      </c>
      <c r="F44" s="21"/>
      <c r="G44" s="21"/>
      <c r="I44" s="19">
        <f>COUNTIF(sorties,A44)</f>
        <v>1</v>
      </c>
      <c r="J44" s="19">
        <f>COUNTIF(Entrées,A44)</f>
        <v>1</v>
      </c>
      <c r="K44" s="19">
        <f t="shared" si="2"/>
        <v>0</v>
      </c>
      <c r="L44" s="19">
        <f t="shared" si="3"/>
        <v>3</v>
      </c>
      <c r="M44" s="19">
        <f t="shared" si="4"/>
        <v>-1</v>
      </c>
      <c r="N44" s="19">
        <f>COUNTIF(sorties,A44)</f>
        <v>1</v>
      </c>
      <c r="O44" s="19">
        <f>COUNTIF(Entrées,E44)</f>
        <v>1</v>
      </c>
      <c r="P44">
        <f t="shared" si="5"/>
        <v>2</v>
      </c>
    </row>
    <row r="45" spans="1:16" ht="15.75" customHeight="1" thickBot="1" x14ac:dyDescent="0.3">
      <c r="A45" s="1">
        <v>41</v>
      </c>
      <c r="B45" s="2">
        <v>2</v>
      </c>
      <c r="C45" s="2">
        <v>40</v>
      </c>
      <c r="D45" s="3" t="str">
        <f t="shared" si="1"/>
        <v>P</v>
      </c>
      <c r="E45" s="2">
        <v>42</v>
      </c>
      <c r="F45" s="20"/>
      <c r="G45" s="20"/>
      <c r="I45" s="19">
        <f>COUNTIF(sorties,A45)</f>
        <v>1</v>
      </c>
      <c r="J45" s="19">
        <f>COUNTIF(Entrées,A45)</f>
        <v>1</v>
      </c>
      <c r="K45" s="19">
        <f t="shared" si="2"/>
        <v>0</v>
      </c>
      <c r="L45" s="19">
        <f t="shared" si="3"/>
        <v>3</v>
      </c>
      <c r="M45" s="19">
        <f t="shared" si="4"/>
        <v>-1</v>
      </c>
      <c r="N45" s="19">
        <f>COUNTIF(sorties,A45)</f>
        <v>1</v>
      </c>
      <c r="O45" s="19">
        <f>COUNTIF(Entrées,E45)</f>
        <v>1</v>
      </c>
      <c r="P45">
        <f t="shared" si="5"/>
        <v>2</v>
      </c>
    </row>
    <row r="46" spans="1:16" ht="15.75" customHeight="1" thickBot="1" x14ac:dyDescent="0.3">
      <c r="A46" s="1">
        <v>42</v>
      </c>
      <c r="B46" s="2">
        <v>2</v>
      </c>
      <c r="C46" s="2">
        <v>43</v>
      </c>
      <c r="D46" s="3" t="str">
        <f t="shared" si="1"/>
        <v>Q</v>
      </c>
      <c r="E46" s="2">
        <v>39</v>
      </c>
      <c r="F46" s="20"/>
      <c r="G46" s="20"/>
      <c r="I46" s="19">
        <f>COUNTIF(sorties,A46)</f>
        <v>1</v>
      </c>
      <c r="J46" s="19">
        <f>COUNTIF(Entrées,A46)</f>
        <v>1</v>
      </c>
      <c r="K46" s="19">
        <f t="shared" si="2"/>
        <v>0</v>
      </c>
      <c r="L46" s="19">
        <f t="shared" si="3"/>
        <v>3</v>
      </c>
      <c r="M46" s="19">
        <f t="shared" si="4"/>
        <v>-1</v>
      </c>
      <c r="N46" s="19">
        <f>COUNTIF(sorties,A46)</f>
        <v>1</v>
      </c>
      <c r="O46" s="19">
        <f>COUNTIF(Entrées,E46)</f>
        <v>1</v>
      </c>
      <c r="P46">
        <f t="shared" si="5"/>
        <v>2</v>
      </c>
    </row>
    <row r="47" spans="1:16" ht="15.75" customHeight="1" thickBot="1" x14ac:dyDescent="0.3">
      <c r="A47" s="1">
        <v>43</v>
      </c>
      <c r="B47" s="2">
        <v>2</v>
      </c>
      <c r="C47" s="2">
        <v>38</v>
      </c>
      <c r="D47" s="3" t="str">
        <f t="shared" si="1"/>
        <v>P</v>
      </c>
      <c r="E47" s="2">
        <v>44</v>
      </c>
      <c r="F47" s="20"/>
      <c r="G47" s="20"/>
      <c r="I47" s="19">
        <f>COUNTIF(sorties,A47)</f>
        <v>1</v>
      </c>
      <c r="J47" s="19">
        <f>COUNTIF(Entrées,A47)</f>
        <v>1</v>
      </c>
      <c r="K47" s="19">
        <f t="shared" si="2"/>
        <v>0</v>
      </c>
      <c r="L47" s="19">
        <f t="shared" si="3"/>
        <v>3</v>
      </c>
      <c r="M47" s="19">
        <f t="shared" si="4"/>
        <v>-1</v>
      </c>
      <c r="N47" s="19">
        <f>COUNTIF(sorties,A47)</f>
        <v>1</v>
      </c>
      <c r="O47" s="19">
        <f>COUNTIF(Entrées,E47)</f>
        <v>1</v>
      </c>
      <c r="P47">
        <f t="shared" si="5"/>
        <v>2</v>
      </c>
    </row>
    <row r="48" spans="1:16" ht="15.75" customHeight="1" thickBot="1" x14ac:dyDescent="0.3">
      <c r="A48" s="1">
        <v>44</v>
      </c>
      <c r="B48" s="2">
        <v>2</v>
      </c>
      <c r="C48" s="2">
        <v>45</v>
      </c>
      <c r="D48" s="3" t="str">
        <f t="shared" si="1"/>
        <v>Q</v>
      </c>
      <c r="E48" s="2">
        <v>37</v>
      </c>
      <c r="F48" s="20"/>
      <c r="G48" s="20"/>
      <c r="I48" s="19">
        <f>COUNTIF(sorties,A48)</f>
        <v>1</v>
      </c>
      <c r="J48" s="19">
        <f>COUNTIF(Entrées,A48)</f>
        <v>1</v>
      </c>
      <c r="K48" s="19">
        <f t="shared" si="2"/>
        <v>0</v>
      </c>
      <c r="L48" s="19">
        <f t="shared" si="3"/>
        <v>3</v>
      </c>
      <c r="M48" s="19">
        <f t="shared" si="4"/>
        <v>-1</v>
      </c>
      <c r="N48" s="19">
        <f>COUNTIF(sorties,A48)</f>
        <v>1</v>
      </c>
      <c r="O48" s="19">
        <f>COUNTIF(Entrées,E48)</f>
        <v>1</v>
      </c>
      <c r="P48">
        <f t="shared" si="5"/>
        <v>2</v>
      </c>
    </row>
    <row r="49" spans="1:16" ht="15.75" customHeight="1" thickBot="1" x14ac:dyDescent="0.3">
      <c r="A49" s="1">
        <v>45</v>
      </c>
      <c r="B49" s="2">
        <v>2</v>
      </c>
      <c r="C49" s="2">
        <v>25</v>
      </c>
      <c r="D49" s="3" t="str">
        <f t="shared" si="1"/>
        <v>Q</v>
      </c>
      <c r="E49" s="2">
        <v>57</v>
      </c>
      <c r="F49" s="21"/>
      <c r="G49" s="21"/>
      <c r="I49" s="19">
        <f>COUNTIF(sorties,A49)</f>
        <v>1</v>
      </c>
      <c r="J49" s="19">
        <f>COUNTIF(Entrées,A49)</f>
        <v>1</v>
      </c>
      <c r="K49" s="19">
        <f t="shared" si="2"/>
        <v>0</v>
      </c>
      <c r="L49" s="19">
        <f t="shared" si="3"/>
        <v>3</v>
      </c>
      <c r="M49" s="19">
        <f t="shared" si="4"/>
        <v>-1</v>
      </c>
      <c r="N49" s="19">
        <f>COUNTIF(sorties,A49)</f>
        <v>1</v>
      </c>
      <c r="O49" s="19">
        <f>COUNTIF(Entrées,E49)</f>
        <v>1</v>
      </c>
      <c r="P49">
        <f t="shared" si="5"/>
        <v>2</v>
      </c>
    </row>
    <row r="50" spans="1:16" ht="15.75" customHeight="1" thickBot="1" x14ac:dyDescent="0.3">
      <c r="A50" s="1">
        <v>46</v>
      </c>
      <c r="B50" s="2">
        <v>2</v>
      </c>
      <c r="C50" s="2">
        <v>58</v>
      </c>
      <c r="D50" s="3" t="str">
        <f t="shared" si="1"/>
        <v>P</v>
      </c>
      <c r="E50" s="2">
        <v>24</v>
      </c>
      <c r="F50" s="21"/>
      <c r="G50" s="21"/>
      <c r="I50" s="19">
        <f>COUNTIF(sorties,A50)</f>
        <v>1</v>
      </c>
      <c r="J50" s="19">
        <f>COUNTIF(Entrées,A50)</f>
        <v>1</v>
      </c>
      <c r="K50" s="19">
        <f t="shared" si="2"/>
        <v>0</v>
      </c>
      <c r="L50" s="19">
        <f t="shared" si="3"/>
        <v>3</v>
      </c>
      <c r="M50" s="19">
        <f t="shared" si="4"/>
        <v>-1</v>
      </c>
      <c r="N50" s="19">
        <f>COUNTIF(sorties,A50)</f>
        <v>1</v>
      </c>
      <c r="O50" s="19">
        <f>COUNTIF(Entrées,E50)</f>
        <v>1</v>
      </c>
      <c r="P50">
        <f t="shared" si="5"/>
        <v>2</v>
      </c>
    </row>
    <row r="51" spans="1:16" ht="15.75" customHeight="1" thickBot="1" x14ac:dyDescent="0.3">
      <c r="A51" s="1">
        <v>47</v>
      </c>
      <c r="B51" s="2">
        <v>2</v>
      </c>
      <c r="C51" s="2">
        <v>23</v>
      </c>
      <c r="D51" s="3" t="str">
        <f t="shared" si="1"/>
        <v>Q</v>
      </c>
      <c r="E51" s="2">
        <v>59</v>
      </c>
      <c r="F51" s="21"/>
      <c r="G51" s="21"/>
      <c r="I51" s="19">
        <f>COUNTIF(sorties,A51)</f>
        <v>1</v>
      </c>
      <c r="J51" s="19">
        <f>COUNTIF(Entrées,A51)</f>
        <v>1</v>
      </c>
      <c r="K51" s="19">
        <f t="shared" si="2"/>
        <v>0</v>
      </c>
      <c r="L51" s="19">
        <f t="shared" si="3"/>
        <v>3</v>
      </c>
      <c r="M51" s="19">
        <f t="shared" si="4"/>
        <v>-1</v>
      </c>
      <c r="N51" s="19">
        <f>COUNTIF(sorties,A51)</f>
        <v>1</v>
      </c>
      <c r="O51" s="19">
        <f>COUNTIF(Entrées,E51)</f>
        <v>1</v>
      </c>
      <c r="P51">
        <f t="shared" si="5"/>
        <v>2</v>
      </c>
    </row>
    <row r="52" spans="1:16" ht="15.75" customHeight="1" thickBot="1" x14ac:dyDescent="0.3">
      <c r="A52" s="1">
        <v>48</v>
      </c>
      <c r="B52" s="2">
        <v>2</v>
      </c>
      <c r="C52" s="2">
        <v>60</v>
      </c>
      <c r="D52" s="3" t="str">
        <f t="shared" si="1"/>
        <v>P</v>
      </c>
      <c r="E52" s="2">
        <v>22</v>
      </c>
      <c r="F52" s="21"/>
      <c r="G52" s="21"/>
      <c r="I52" s="19">
        <f>COUNTIF(sorties,A52)</f>
        <v>1</v>
      </c>
      <c r="J52" s="19">
        <f>COUNTIF(Entrées,A52)</f>
        <v>1</v>
      </c>
      <c r="K52" s="19">
        <f t="shared" si="2"/>
        <v>0</v>
      </c>
      <c r="L52" s="19">
        <f t="shared" si="3"/>
        <v>3</v>
      </c>
      <c r="M52" s="19">
        <f t="shared" si="4"/>
        <v>-1</v>
      </c>
      <c r="N52" s="19">
        <f>COUNTIF(sorties,A52)</f>
        <v>1</v>
      </c>
      <c r="O52" s="19">
        <f>COUNTIF(Entrées,E52)</f>
        <v>1</v>
      </c>
      <c r="P52">
        <f t="shared" si="5"/>
        <v>2</v>
      </c>
    </row>
    <row r="53" spans="1:16" ht="15.75" customHeight="1" thickBot="1" x14ac:dyDescent="0.3">
      <c r="A53" s="1">
        <v>49</v>
      </c>
      <c r="B53" s="2">
        <v>2</v>
      </c>
      <c r="C53" s="2">
        <v>48</v>
      </c>
      <c r="D53" s="3" t="str">
        <f t="shared" si="1"/>
        <v>P</v>
      </c>
      <c r="E53" s="2">
        <v>50</v>
      </c>
      <c r="F53" s="20"/>
      <c r="G53" s="20"/>
      <c r="I53" s="19">
        <f>COUNTIF(sorties,A53)</f>
        <v>1</v>
      </c>
      <c r="J53" s="19">
        <f>COUNTIF(Entrées,A53)</f>
        <v>1</v>
      </c>
      <c r="K53" s="19">
        <f t="shared" si="2"/>
        <v>0</v>
      </c>
      <c r="L53" s="19">
        <f t="shared" si="3"/>
        <v>3</v>
      </c>
      <c r="M53" s="19">
        <f t="shared" si="4"/>
        <v>-1</v>
      </c>
      <c r="N53" s="19">
        <f>COUNTIF(sorties,A53)</f>
        <v>1</v>
      </c>
      <c r="O53" s="19">
        <f>COUNTIF(Entrées,E53)</f>
        <v>1</v>
      </c>
      <c r="P53">
        <f t="shared" si="5"/>
        <v>2</v>
      </c>
    </row>
    <row r="54" spans="1:16" ht="15.75" customHeight="1" thickBot="1" x14ac:dyDescent="0.3">
      <c r="A54" s="1">
        <v>50</v>
      </c>
      <c r="B54" s="2">
        <v>2</v>
      </c>
      <c r="C54" s="2">
        <v>51</v>
      </c>
      <c r="D54" s="3" t="str">
        <f t="shared" si="1"/>
        <v>Q</v>
      </c>
      <c r="E54" s="2">
        <v>47</v>
      </c>
      <c r="F54" s="20"/>
      <c r="G54" s="20"/>
      <c r="I54" s="19">
        <f>COUNTIF(sorties,A54)</f>
        <v>1</v>
      </c>
      <c r="J54" s="19">
        <f>COUNTIF(Entrées,A54)</f>
        <v>1</v>
      </c>
      <c r="K54" s="19">
        <f t="shared" si="2"/>
        <v>0</v>
      </c>
      <c r="L54" s="19">
        <f t="shared" si="3"/>
        <v>3</v>
      </c>
      <c r="M54" s="19">
        <f t="shared" si="4"/>
        <v>-1</v>
      </c>
      <c r="N54" s="19">
        <f>COUNTIF(sorties,A54)</f>
        <v>1</v>
      </c>
      <c r="O54" s="19">
        <f>COUNTIF(Entrées,E54)</f>
        <v>1</v>
      </c>
      <c r="P54">
        <f t="shared" si="5"/>
        <v>2</v>
      </c>
    </row>
    <row r="55" spans="1:16" ht="15.75" customHeight="1" thickBot="1" x14ac:dyDescent="0.3">
      <c r="A55" s="1">
        <v>51</v>
      </c>
      <c r="B55" s="2">
        <v>2</v>
      </c>
      <c r="C55" s="2">
        <v>46</v>
      </c>
      <c r="D55" s="3" t="str">
        <f t="shared" si="1"/>
        <v>P</v>
      </c>
      <c r="E55" s="2">
        <v>52</v>
      </c>
      <c r="F55" s="20"/>
      <c r="G55" s="20"/>
      <c r="I55" s="19">
        <f>COUNTIF(sorties,A55)</f>
        <v>1</v>
      </c>
      <c r="J55" s="19">
        <f>COUNTIF(Entrées,A55)</f>
        <v>1</v>
      </c>
      <c r="K55" s="19">
        <f t="shared" si="2"/>
        <v>0</v>
      </c>
      <c r="L55" s="19">
        <f t="shared" si="3"/>
        <v>3</v>
      </c>
      <c r="M55" s="19">
        <f t="shared" si="4"/>
        <v>-1</v>
      </c>
      <c r="N55" s="19">
        <f>COUNTIF(sorties,A55)</f>
        <v>1</v>
      </c>
      <c r="O55" s="19">
        <f>COUNTIF(Entrées,E55)</f>
        <v>1</v>
      </c>
      <c r="P55">
        <f t="shared" si="5"/>
        <v>2</v>
      </c>
    </row>
    <row r="56" spans="1:16" ht="15.75" customHeight="1" thickBot="1" x14ac:dyDescent="0.3">
      <c r="A56" s="1">
        <v>52</v>
      </c>
      <c r="B56" s="2">
        <v>2</v>
      </c>
      <c r="C56" s="2">
        <v>53</v>
      </c>
      <c r="D56" s="3" t="str">
        <f t="shared" si="1"/>
        <v>Q</v>
      </c>
      <c r="E56" s="2">
        <v>45</v>
      </c>
      <c r="F56" s="20"/>
      <c r="G56" s="20"/>
      <c r="I56" s="19">
        <f>COUNTIF(sorties,A56)</f>
        <v>1</v>
      </c>
      <c r="J56" s="19">
        <f>COUNTIF(Entrées,A56)</f>
        <v>1</v>
      </c>
      <c r="K56" s="19">
        <f t="shared" si="2"/>
        <v>0</v>
      </c>
      <c r="L56" s="19">
        <f t="shared" si="3"/>
        <v>3</v>
      </c>
      <c r="M56" s="19">
        <f t="shared" si="4"/>
        <v>-1</v>
      </c>
      <c r="N56" s="19">
        <f>COUNTIF(sorties,A56)</f>
        <v>1</v>
      </c>
      <c r="O56" s="19">
        <f>COUNTIF(Entrées,E56)</f>
        <v>1</v>
      </c>
      <c r="P56">
        <f t="shared" si="5"/>
        <v>2</v>
      </c>
    </row>
    <row r="57" spans="1:16" ht="15.75" customHeight="1" thickBot="1" x14ac:dyDescent="0.3">
      <c r="A57" s="1">
        <v>53</v>
      </c>
      <c r="B57" s="2">
        <v>2</v>
      </c>
      <c r="C57" s="2">
        <v>33</v>
      </c>
      <c r="D57" s="3" t="str">
        <f t="shared" si="1"/>
        <v>Q</v>
      </c>
      <c r="E57" s="2">
        <v>65</v>
      </c>
      <c r="F57" s="21"/>
      <c r="G57" s="21"/>
      <c r="I57" s="19">
        <f>COUNTIF(sorties,A57)</f>
        <v>1</v>
      </c>
      <c r="J57" s="19">
        <f>COUNTIF(Entrées,A57)</f>
        <v>1</v>
      </c>
      <c r="K57" s="19">
        <f t="shared" si="2"/>
        <v>0</v>
      </c>
      <c r="L57" s="19">
        <f t="shared" si="3"/>
        <v>3</v>
      </c>
      <c r="M57" s="19">
        <f t="shared" si="4"/>
        <v>-1</v>
      </c>
      <c r="N57" s="19">
        <f>COUNTIF(sorties,A57)</f>
        <v>1</v>
      </c>
      <c r="O57" s="19">
        <f>COUNTIF(Entrées,E57)</f>
        <v>1</v>
      </c>
      <c r="P57">
        <f t="shared" si="5"/>
        <v>2</v>
      </c>
    </row>
    <row r="58" spans="1:16" ht="15.75" customHeight="1" thickBot="1" x14ac:dyDescent="0.3">
      <c r="A58" s="1">
        <v>54</v>
      </c>
      <c r="B58" s="2">
        <v>2</v>
      </c>
      <c r="C58" s="2">
        <v>66</v>
      </c>
      <c r="D58" s="3" t="str">
        <f t="shared" si="1"/>
        <v>P</v>
      </c>
      <c r="E58" s="2">
        <v>32</v>
      </c>
      <c r="F58" s="21"/>
      <c r="G58" s="21"/>
      <c r="I58" s="19">
        <f>COUNTIF(sorties,A58)</f>
        <v>1</v>
      </c>
      <c r="J58" s="19">
        <f>COUNTIF(Entrées,A58)</f>
        <v>1</v>
      </c>
      <c r="K58" s="19">
        <f t="shared" si="2"/>
        <v>0</v>
      </c>
      <c r="L58" s="19">
        <f t="shared" si="3"/>
        <v>3</v>
      </c>
      <c r="M58" s="19">
        <f t="shared" si="4"/>
        <v>-1</v>
      </c>
      <c r="N58" s="19">
        <f>COUNTIF(sorties,A58)</f>
        <v>1</v>
      </c>
      <c r="O58" s="19">
        <f>COUNTIF(Entrées,E58)</f>
        <v>1</v>
      </c>
      <c r="P58">
        <f t="shared" si="5"/>
        <v>2</v>
      </c>
    </row>
    <row r="59" spans="1:16" ht="15.75" customHeight="1" thickBot="1" x14ac:dyDescent="0.3">
      <c r="A59" s="1">
        <v>55</v>
      </c>
      <c r="B59" s="2">
        <v>2</v>
      </c>
      <c r="C59" s="2">
        <v>31</v>
      </c>
      <c r="D59" s="3" t="str">
        <f t="shared" si="1"/>
        <v>Q</v>
      </c>
      <c r="E59" s="2">
        <v>67</v>
      </c>
      <c r="F59" s="21"/>
      <c r="G59" s="21"/>
      <c r="I59" s="19">
        <f>COUNTIF(sorties,A59)</f>
        <v>1</v>
      </c>
      <c r="J59" s="19">
        <f>COUNTIF(Entrées,A59)</f>
        <v>1</v>
      </c>
      <c r="K59" s="19">
        <f t="shared" si="2"/>
        <v>0</v>
      </c>
      <c r="L59" s="19">
        <f t="shared" si="3"/>
        <v>3</v>
      </c>
      <c r="M59" s="19">
        <f t="shared" si="4"/>
        <v>-1</v>
      </c>
      <c r="N59" s="19">
        <f>COUNTIF(sorties,A59)</f>
        <v>1</v>
      </c>
      <c r="O59" s="19">
        <f>COUNTIF(Entrées,E59)</f>
        <v>1</v>
      </c>
      <c r="P59">
        <f t="shared" si="5"/>
        <v>2</v>
      </c>
    </row>
    <row r="60" spans="1:16" ht="15.75" customHeight="1" thickBot="1" x14ac:dyDescent="0.3">
      <c r="A60" s="1">
        <v>56</v>
      </c>
      <c r="B60" s="2">
        <v>2</v>
      </c>
      <c r="C60" s="2">
        <v>68</v>
      </c>
      <c r="D60" s="3" t="str">
        <f t="shared" si="1"/>
        <v>P</v>
      </c>
      <c r="E60" s="2">
        <v>30</v>
      </c>
      <c r="F60" s="21"/>
      <c r="G60" s="21"/>
      <c r="I60" s="19">
        <f>COUNTIF(sorties,A60)</f>
        <v>1</v>
      </c>
      <c r="J60" s="19">
        <f>COUNTIF(Entrées,A60)</f>
        <v>1</v>
      </c>
      <c r="K60" s="19">
        <f t="shared" si="2"/>
        <v>0</v>
      </c>
      <c r="L60" s="19">
        <f t="shared" si="3"/>
        <v>3</v>
      </c>
      <c r="M60" s="19">
        <f t="shared" si="4"/>
        <v>-1</v>
      </c>
      <c r="N60" s="19">
        <f>COUNTIF(sorties,A60)</f>
        <v>1</v>
      </c>
      <c r="O60" s="19">
        <f>COUNTIF(Entrées,E60)</f>
        <v>1</v>
      </c>
      <c r="P60">
        <f t="shared" si="5"/>
        <v>2</v>
      </c>
    </row>
    <row r="61" spans="1:16" ht="15.75" customHeight="1" thickBot="1" x14ac:dyDescent="0.3">
      <c r="A61" s="1">
        <v>57</v>
      </c>
      <c r="B61" s="2">
        <v>2</v>
      </c>
      <c r="C61" s="2">
        <v>56</v>
      </c>
      <c r="D61" s="3" t="str">
        <f t="shared" si="1"/>
        <v>P</v>
      </c>
      <c r="E61" s="2">
        <v>58</v>
      </c>
      <c r="F61" s="20"/>
      <c r="G61" s="20"/>
      <c r="I61" s="19">
        <f>COUNTIF(sorties,A61)</f>
        <v>1</v>
      </c>
      <c r="J61" s="19">
        <f>COUNTIF(Entrées,A61)</f>
        <v>1</v>
      </c>
      <c r="K61" s="19">
        <f t="shared" si="2"/>
        <v>0</v>
      </c>
      <c r="L61" s="19">
        <f t="shared" si="3"/>
        <v>3</v>
      </c>
      <c r="M61" s="19">
        <f t="shared" si="4"/>
        <v>-1</v>
      </c>
      <c r="N61" s="19">
        <f>COUNTIF(sorties,A61)</f>
        <v>1</v>
      </c>
      <c r="O61" s="19">
        <f>COUNTIF(Entrées,E61)</f>
        <v>1</v>
      </c>
      <c r="P61">
        <f t="shared" si="5"/>
        <v>2</v>
      </c>
    </row>
    <row r="62" spans="1:16" ht="15.75" customHeight="1" thickBot="1" x14ac:dyDescent="0.3">
      <c r="A62" s="1">
        <v>58</v>
      </c>
      <c r="B62" s="2">
        <v>2</v>
      </c>
      <c r="C62" s="2">
        <v>59</v>
      </c>
      <c r="D62" s="3" t="str">
        <f t="shared" si="1"/>
        <v>Q</v>
      </c>
      <c r="E62" s="2">
        <v>55</v>
      </c>
      <c r="F62" s="20"/>
      <c r="G62" s="20"/>
      <c r="I62" s="19">
        <f>COUNTIF(sorties,A62)</f>
        <v>1</v>
      </c>
      <c r="J62" s="19">
        <f>COUNTIF(Entrées,A62)</f>
        <v>1</v>
      </c>
      <c r="K62" s="19">
        <f t="shared" si="2"/>
        <v>0</v>
      </c>
      <c r="L62" s="19">
        <f t="shared" si="3"/>
        <v>3</v>
      </c>
      <c r="M62" s="19">
        <f t="shared" si="4"/>
        <v>-1</v>
      </c>
      <c r="N62" s="19">
        <f>COUNTIF(sorties,A62)</f>
        <v>1</v>
      </c>
      <c r="O62" s="19">
        <f>COUNTIF(Entrées,E62)</f>
        <v>1</v>
      </c>
      <c r="P62">
        <f t="shared" si="5"/>
        <v>2</v>
      </c>
    </row>
    <row r="63" spans="1:16" ht="15.75" customHeight="1" thickBot="1" x14ac:dyDescent="0.3">
      <c r="A63" s="1">
        <v>59</v>
      </c>
      <c r="B63" s="2">
        <v>2</v>
      </c>
      <c r="C63" s="2">
        <v>54</v>
      </c>
      <c r="D63" s="3" t="str">
        <f t="shared" si="1"/>
        <v>P</v>
      </c>
      <c r="E63" s="2">
        <v>60</v>
      </c>
      <c r="F63" s="20"/>
      <c r="G63" s="20"/>
      <c r="I63" s="19">
        <f>COUNTIF(sorties,A63)</f>
        <v>1</v>
      </c>
      <c r="J63" s="19">
        <f>COUNTIF(Entrées,A63)</f>
        <v>1</v>
      </c>
      <c r="K63" s="19">
        <f t="shared" si="2"/>
        <v>0</v>
      </c>
      <c r="L63" s="19">
        <f t="shared" si="3"/>
        <v>3</v>
      </c>
      <c r="M63" s="19">
        <f t="shared" si="4"/>
        <v>-1</v>
      </c>
      <c r="N63" s="19">
        <f>COUNTIF(sorties,A63)</f>
        <v>1</v>
      </c>
      <c r="O63" s="19">
        <f>COUNTIF(Entrées,E63)</f>
        <v>1</v>
      </c>
      <c r="P63">
        <f t="shared" si="5"/>
        <v>2</v>
      </c>
    </row>
    <row r="64" spans="1:16" ht="15.75" customHeight="1" thickBot="1" x14ac:dyDescent="0.3">
      <c r="A64" s="1">
        <v>60</v>
      </c>
      <c r="B64" s="2">
        <v>2</v>
      </c>
      <c r="C64" s="2">
        <v>61</v>
      </c>
      <c r="D64" s="3" t="str">
        <f t="shared" si="1"/>
        <v>Q</v>
      </c>
      <c r="E64" s="2">
        <v>53</v>
      </c>
      <c r="F64" s="20"/>
      <c r="G64" s="20"/>
      <c r="I64" s="19">
        <f>COUNTIF(sorties,A64)</f>
        <v>1</v>
      </c>
      <c r="J64" s="19">
        <f>COUNTIF(Entrées,A64)</f>
        <v>1</v>
      </c>
      <c r="K64" s="19">
        <f t="shared" si="2"/>
        <v>0</v>
      </c>
      <c r="L64" s="19">
        <f t="shared" si="3"/>
        <v>3</v>
      </c>
      <c r="M64" s="19">
        <f t="shared" si="4"/>
        <v>-1</v>
      </c>
      <c r="N64" s="19">
        <f>COUNTIF(sorties,A64)</f>
        <v>1</v>
      </c>
      <c r="O64" s="19">
        <f>COUNTIF(Entrées,E64)</f>
        <v>1</v>
      </c>
      <c r="P64">
        <f t="shared" si="5"/>
        <v>2</v>
      </c>
    </row>
    <row r="65" spans="1:16" ht="15.75" customHeight="1" thickBot="1" x14ac:dyDescent="0.3">
      <c r="A65" s="1">
        <v>61</v>
      </c>
      <c r="B65" s="2">
        <v>2</v>
      </c>
      <c r="C65" s="2">
        <v>41</v>
      </c>
      <c r="D65" s="3" t="str">
        <f t="shared" si="1"/>
        <v>Q</v>
      </c>
      <c r="E65" s="2">
        <v>73</v>
      </c>
      <c r="F65" s="21"/>
      <c r="G65" s="21"/>
      <c r="I65" s="19">
        <f>COUNTIF(sorties,A65)</f>
        <v>1</v>
      </c>
      <c r="J65" s="19">
        <f>COUNTIF(Entrées,A65)</f>
        <v>1</v>
      </c>
      <c r="K65" s="19">
        <f t="shared" si="2"/>
        <v>0</v>
      </c>
      <c r="L65" s="19">
        <f t="shared" si="3"/>
        <v>3</v>
      </c>
      <c r="M65" s="19">
        <f t="shared" si="4"/>
        <v>-1</v>
      </c>
      <c r="N65" s="19">
        <f>COUNTIF(sorties,A65)</f>
        <v>1</v>
      </c>
      <c r="O65" s="19">
        <f>COUNTIF(Entrées,E65)</f>
        <v>1</v>
      </c>
      <c r="P65">
        <f t="shared" si="5"/>
        <v>2</v>
      </c>
    </row>
    <row r="66" spans="1:16" ht="15.75" customHeight="1" thickBot="1" x14ac:dyDescent="0.3">
      <c r="A66" s="1">
        <v>62</v>
      </c>
      <c r="B66" s="2">
        <v>2</v>
      </c>
      <c r="C66" s="2">
        <v>74</v>
      </c>
      <c r="D66" s="3" t="str">
        <f t="shared" si="1"/>
        <v>P</v>
      </c>
      <c r="E66" s="2">
        <v>40</v>
      </c>
      <c r="F66" s="21"/>
      <c r="G66" s="21"/>
      <c r="I66" s="19">
        <f>COUNTIF(sorties,A66)</f>
        <v>1</v>
      </c>
      <c r="J66" s="19">
        <f>COUNTIF(Entrées,A66)</f>
        <v>1</v>
      </c>
      <c r="K66" s="19">
        <f t="shared" si="2"/>
        <v>0</v>
      </c>
      <c r="L66" s="19">
        <f t="shared" si="3"/>
        <v>3</v>
      </c>
      <c r="M66" s="19">
        <f t="shared" si="4"/>
        <v>-1</v>
      </c>
      <c r="N66" s="19">
        <f>COUNTIF(sorties,A66)</f>
        <v>1</v>
      </c>
      <c r="O66" s="19">
        <f>COUNTIF(Entrées,E66)</f>
        <v>1</v>
      </c>
      <c r="P66">
        <f t="shared" si="5"/>
        <v>2</v>
      </c>
    </row>
    <row r="67" spans="1:16" ht="15.75" customHeight="1" thickBot="1" x14ac:dyDescent="0.3">
      <c r="A67" s="1">
        <v>63</v>
      </c>
      <c r="B67" s="2">
        <v>2</v>
      </c>
      <c r="C67" s="2">
        <v>39</v>
      </c>
      <c r="D67" s="3" t="str">
        <f t="shared" si="1"/>
        <v>Q</v>
      </c>
      <c r="E67" s="2">
        <v>75</v>
      </c>
      <c r="F67" s="21"/>
      <c r="G67" s="21"/>
      <c r="I67" s="19">
        <f>COUNTIF(sorties,A67)</f>
        <v>1</v>
      </c>
      <c r="J67" s="19">
        <f>COUNTIF(Entrées,A67)</f>
        <v>1</v>
      </c>
      <c r="K67" s="19">
        <f t="shared" si="2"/>
        <v>0</v>
      </c>
      <c r="L67" s="19">
        <f t="shared" si="3"/>
        <v>3</v>
      </c>
      <c r="M67" s="19">
        <f t="shared" si="4"/>
        <v>-1</v>
      </c>
      <c r="N67" s="19">
        <f>COUNTIF(sorties,A67)</f>
        <v>1</v>
      </c>
      <c r="O67" s="19">
        <f>COUNTIF(Entrées,E67)</f>
        <v>1</v>
      </c>
      <c r="P67">
        <f t="shared" si="5"/>
        <v>2</v>
      </c>
    </row>
    <row r="68" spans="1:16" ht="15.75" customHeight="1" thickBot="1" x14ac:dyDescent="0.3">
      <c r="A68" s="1">
        <v>64</v>
      </c>
      <c r="B68" s="2">
        <v>2</v>
      </c>
      <c r="C68" s="2">
        <v>76</v>
      </c>
      <c r="D68" s="3" t="str">
        <f t="shared" si="1"/>
        <v>P</v>
      </c>
      <c r="E68" s="2">
        <v>38</v>
      </c>
      <c r="F68" s="21"/>
      <c r="G68" s="21"/>
      <c r="I68" s="19">
        <f>COUNTIF(sorties,A68)</f>
        <v>1</v>
      </c>
      <c r="J68" s="19">
        <f>COUNTIF(Entrées,A68)</f>
        <v>1</v>
      </c>
      <c r="K68" s="19">
        <f t="shared" si="2"/>
        <v>0</v>
      </c>
      <c r="L68" s="19">
        <f t="shared" si="3"/>
        <v>3</v>
      </c>
      <c r="M68" s="19">
        <f t="shared" si="4"/>
        <v>-1</v>
      </c>
      <c r="N68" s="19">
        <f>COUNTIF(sorties,A68)</f>
        <v>1</v>
      </c>
      <c r="O68" s="19">
        <f>COUNTIF(Entrées,E68)</f>
        <v>1</v>
      </c>
      <c r="P68">
        <f t="shared" si="5"/>
        <v>2</v>
      </c>
    </row>
    <row r="69" spans="1:16" ht="15.75" thickBot="1" x14ac:dyDescent="0.3">
      <c r="A69" s="1">
        <v>65</v>
      </c>
      <c r="B69" s="2">
        <v>2</v>
      </c>
      <c r="C69" s="2">
        <v>64</v>
      </c>
      <c r="D69" s="3" t="str">
        <f t="shared" si="1"/>
        <v>P</v>
      </c>
      <c r="E69" s="2">
        <v>66</v>
      </c>
      <c r="F69" s="20"/>
      <c r="G69" s="20"/>
      <c r="I69" s="19">
        <f>COUNTIF(sorties,A69)</f>
        <v>1</v>
      </c>
      <c r="J69" s="19">
        <f>COUNTIF(Entrées,A69)</f>
        <v>1</v>
      </c>
      <c r="K69" s="19">
        <f t="shared" si="2"/>
        <v>0</v>
      </c>
      <c r="L69" s="19">
        <f t="shared" si="3"/>
        <v>3</v>
      </c>
      <c r="M69" s="19">
        <f t="shared" si="4"/>
        <v>-1</v>
      </c>
      <c r="N69" s="19">
        <f>COUNTIF(sorties,A69)</f>
        <v>1</v>
      </c>
      <c r="O69" s="19">
        <f>COUNTIF(Entrées,E69)</f>
        <v>1</v>
      </c>
      <c r="P69">
        <f t="shared" si="5"/>
        <v>2</v>
      </c>
    </row>
    <row r="70" spans="1:16" ht="15.75" thickBot="1" x14ac:dyDescent="0.3">
      <c r="A70" s="1">
        <v>66</v>
      </c>
      <c r="B70" s="2">
        <v>2</v>
      </c>
      <c r="C70" s="2">
        <v>67</v>
      </c>
      <c r="D70" s="3" t="str">
        <f t="shared" ref="D70:D84" si="6">IF(C70/2 = ROUND(C70/2,0),REPT("P",1),REPT("Q",1))</f>
        <v>Q</v>
      </c>
      <c r="E70" s="2">
        <v>63</v>
      </c>
      <c r="F70" s="20"/>
      <c r="G70" s="20"/>
      <c r="I70" s="19">
        <f>COUNTIF(sorties,A70)</f>
        <v>1</v>
      </c>
      <c r="J70" s="19">
        <f>COUNTIF(Entrées,A70)</f>
        <v>1</v>
      </c>
      <c r="K70" s="19">
        <f t="shared" ref="K70:K84" si="7">J70-I70</f>
        <v>0</v>
      </c>
      <c r="L70" s="19">
        <f t="shared" ref="L70:L84" si="8">3-K70</f>
        <v>3</v>
      </c>
      <c r="M70" s="19">
        <f t="shared" ref="M70:M84" si="9">B70-L70</f>
        <v>-1</v>
      </c>
      <c r="N70" s="19">
        <f>COUNTIF(sorties,A70)</f>
        <v>1</v>
      </c>
      <c r="O70" s="19">
        <f>COUNTIF(Entrées,E70)</f>
        <v>1</v>
      </c>
      <c r="P70">
        <f t="shared" ref="P70:P84" si="10">+L70+M70</f>
        <v>2</v>
      </c>
    </row>
    <row r="71" spans="1:16" ht="15.75" thickBot="1" x14ac:dyDescent="0.3">
      <c r="A71" s="1">
        <v>67</v>
      </c>
      <c r="B71" s="2">
        <v>2</v>
      </c>
      <c r="C71" s="2">
        <v>62</v>
      </c>
      <c r="D71" s="3" t="str">
        <f t="shared" si="6"/>
        <v>P</v>
      </c>
      <c r="E71" s="2">
        <v>68</v>
      </c>
      <c r="F71" s="20"/>
      <c r="G71" s="20"/>
      <c r="I71" s="19">
        <f>COUNTIF(sorties,A71)</f>
        <v>1</v>
      </c>
      <c r="J71" s="19">
        <f>COUNTIF(Entrées,A71)</f>
        <v>1</v>
      </c>
      <c r="K71" s="19">
        <f t="shared" si="7"/>
        <v>0</v>
      </c>
      <c r="L71" s="19">
        <f t="shared" si="8"/>
        <v>3</v>
      </c>
      <c r="M71" s="19">
        <f t="shared" si="9"/>
        <v>-1</v>
      </c>
      <c r="N71" s="19">
        <f>COUNTIF(sorties,A71)</f>
        <v>1</v>
      </c>
      <c r="O71" s="19">
        <f>COUNTIF(Entrées,E71)</f>
        <v>1</v>
      </c>
      <c r="P71">
        <f t="shared" si="10"/>
        <v>2</v>
      </c>
    </row>
    <row r="72" spans="1:16" ht="15.75" thickBot="1" x14ac:dyDescent="0.3">
      <c r="A72" s="1">
        <v>68</v>
      </c>
      <c r="B72" s="2">
        <v>2</v>
      </c>
      <c r="C72" s="2">
        <v>69</v>
      </c>
      <c r="D72" s="3" t="str">
        <f t="shared" si="6"/>
        <v>Q</v>
      </c>
      <c r="E72" s="2">
        <v>61</v>
      </c>
      <c r="F72" s="20"/>
      <c r="G72" s="20"/>
      <c r="I72" s="19">
        <f>COUNTIF(sorties,A72)</f>
        <v>1</v>
      </c>
      <c r="J72" s="19">
        <f>COUNTIF(Entrées,A72)</f>
        <v>1</v>
      </c>
      <c r="K72" s="19">
        <f t="shared" si="7"/>
        <v>0</v>
      </c>
      <c r="L72" s="19">
        <f t="shared" si="8"/>
        <v>3</v>
      </c>
      <c r="M72" s="19">
        <f t="shared" si="9"/>
        <v>-1</v>
      </c>
      <c r="N72" s="19">
        <f>COUNTIF(sorties,A72)</f>
        <v>1</v>
      </c>
      <c r="O72" s="19">
        <f>COUNTIF(Entrées,E72)</f>
        <v>1</v>
      </c>
      <c r="P72">
        <f t="shared" si="10"/>
        <v>2</v>
      </c>
    </row>
    <row r="73" spans="1:16" ht="15.75" thickBot="1" x14ac:dyDescent="0.3">
      <c r="A73" s="1">
        <v>69</v>
      </c>
      <c r="B73" s="2">
        <v>2</v>
      </c>
      <c r="C73" s="2">
        <v>49</v>
      </c>
      <c r="D73" s="3" t="str">
        <f t="shared" si="6"/>
        <v>Q</v>
      </c>
      <c r="E73" s="2">
        <v>1</v>
      </c>
      <c r="F73" s="21"/>
      <c r="G73" s="21"/>
      <c r="I73" s="19">
        <f>COUNTIF(sorties,A73)</f>
        <v>1</v>
      </c>
      <c r="J73" s="19">
        <f>COUNTIF(Entrées,A73)</f>
        <v>1</v>
      </c>
      <c r="K73" s="19">
        <f t="shared" si="7"/>
        <v>0</v>
      </c>
      <c r="L73" s="19">
        <f t="shared" si="8"/>
        <v>3</v>
      </c>
      <c r="M73" s="19">
        <f t="shared" si="9"/>
        <v>-1</v>
      </c>
      <c r="N73" s="19">
        <f>COUNTIF(sorties,A73)</f>
        <v>1</v>
      </c>
      <c r="O73" s="19">
        <f>COUNTIF(Entrées,E73)</f>
        <v>1</v>
      </c>
      <c r="P73">
        <f t="shared" si="10"/>
        <v>2</v>
      </c>
    </row>
    <row r="74" spans="1:16" ht="15.75" thickBot="1" x14ac:dyDescent="0.3">
      <c r="A74" s="1">
        <v>70</v>
      </c>
      <c r="B74" s="2">
        <v>2</v>
      </c>
      <c r="C74" s="2">
        <v>2</v>
      </c>
      <c r="D74" s="3" t="str">
        <f t="shared" si="6"/>
        <v>P</v>
      </c>
      <c r="E74" s="2">
        <v>48</v>
      </c>
      <c r="F74" s="21"/>
      <c r="G74" s="21"/>
      <c r="I74" s="19">
        <f>COUNTIF(sorties,A74)</f>
        <v>1</v>
      </c>
      <c r="J74" s="19">
        <f>COUNTIF(Entrées,A74)</f>
        <v>1</v>
      </c>
      <c r="K74" s="19">
        <f t="shared" si="7"/>
        <v>0</v>
      </c>
      <c r="L74" s="19">
        <f t="shared" si="8"/>
        <v>3</v>
      </c>
      <c r="M74" s="19">
        <f t="shared" si="9"/>
        <v>-1</v>
      </c>
      <c r="N74" s="19">
        <f>COUNTIF(sorties,A74)</f>
        <v>1</v>
      </c>
      <c r="O74" s="19">
        <f>COUNTIF(Entrées,E74)</f>
        <v>1</v>
      </c>
      <c r="P74">
        <f t="shared" si="10"/>
        <v>2</v>
      </c>
    </row>
    <row r="75" spans="1:16" ht="15.75" thickBot="1" x14ac:dyDescent="0.3">
      <c r="A75" s="1">
        <v>71</v>
      </c>
      <c r="B75" s="2">
        <v>2</v>
      </c>
      <c r="C75" s="2">
        <v>47</v>
      </c>
      <c r="D75" s="3" t="str">
        <f t="shared" si="6"/>
        <v>Q</v>
      </c>
      <c r="E75" s="2">
        <v>3</v>
      </c>
      <c r="F75" s="21"/>
      <c r="G75" s="21"/>
      <c r="I75" s="19">
        <f>COUNTIF(sorties,A75)</f>
        <v>1</v>
      </c>
      <c r="J75" s="19">
        <f>COUNTIF(Entrées,A75)</f>
        <v>1</v>
      </c>
      <c r="K75" s="19">
        <f t="shared" si="7"/>
        <v>0</v>
      </c>
      <c r="L75" s="19">
        <f t="shared" si="8"/>
        <v>3</v>
      </c>
      <c r="M75" s="19">
        <f t="shared" si="9"/>
        <v>-1</v>
      </c>
      <c r="N75" s="19">
        <f>COUNTIF(sorties,A75)</f>
        <v>1</v>
      </c>
      <c r="O75" s="19">
        <f>COUNTIF(Entrées,E75)</f>
        <v>1</v>
      </c>
      <c r="P75">
        <f t="shared" si="10"/>
        <v>2</v>
      </c>
    </row>
    <row r="76" spans="1:16" ht="15.75" thickBot="1" x14ac:dyDescent="0.3">
      <c r="A76" s="1">
        <v>72</v>
      </c>
      <c r="B76" s="2">
        <v>2</v>
      </c>
      <c r="C76" s="2">
        <v>4</v>
      </c>
      <c r="D76" s="3" t="str">
        <f t="shared" si="6"/>
        <v>P</v>
      </c>
      <c r="E76" s="2">
        <v>46</v>
      </c>
      <c r="F76" s="21"/>
      <c r="G76" s="21"/>
      <c r="I76" s="19">
        <f>COUNTIF(sorties,A76)</f>
        <v>1</v>
      </c>
      <c r="J76" s="19">
        <f>COUNTIF(Entrées,A76)</f>
        <v>1</v>
      </c>
      <c r="K76" s="19">
        <f t="shared" si="7"/>
        <v>0</v>
      </c>
      <c r="L76" s="19">
        <f t="shared" si="8"/>
        <v>3</v>
      </c>
      <c r="M76" s="19">
        <f t="shared" si="9"/>
        <v>-1</v>
      </c>
      <c r="N76" s="19">
        <f>COUNTIF(sorties,A76)</f>
        <v>1</v>
      </c>
      <c r="O76" s="19">
        <f>COUNTIF(Entrées,E76)</f>
        <v>1</v>
      </c>
      <c r="P76">
        <f t="shared" si="10"/>
        <v>2</v>
      </c>
    </row>
    <row r="77" spans="1:16" ht="15.75" thickBot="1" x14ac:dyDescent="0.3">
      <c r="A77" s="1">
        <v>73</v>
      </c>
      <c r="B77" s="2">
        <v>2</v>
      </c>
      <c r="C77" s="2">
        <v>72</v>
      </c>
      <c r="D77" s="3" t="str">
        <f t="shared" si="6"/>
        <v>P</v>
      </c>
      <c r="E77" s="2">
        <v>74</v>
      </c>
      <c r="F77" s="20"/>
      <c r="G77" s="20"/>
      <c r="I77" s="19">
        <f>COUNTIF(sorties,A77)</f>
        <v>1</v>
      </c>
      <c r="J77" s="19">
        <f>COUNTIF(Entrées,A77)</f>
        <v>1</v>
      </c>
      <c r="K77" s="19">
        <f t="shared" si="7"/>
        <v>0</v>
      </c>
      <c r="L77" s="19">
        <f t="shared" si="8"/>
        <v>3</v>
      </c>
      <c r="M77" s="19">
        <f t="shared" si="9"/>
        <v>-1</v>
      </c>
      <c r="N77" s="19">
        <f>COUNTIF(sorties,A77)</f>
        <v>1</v>
      </c>
      <c r="O77" s="19">
        <f>COUNTIF(Entrées,E77)</f>
        <v>1</v>
      </c>
      <c r="P77">
        <f t="shared" si="10"/>
        <v>2</v>
      </c>
    </row>
    <row r="78" spans="1:16" ht="15.75" thickBot="1" x14ac:dyDescent="0.3">
      <c r="A78" s="1">
        <v>74</v>
      </c>
      <c r="B78" s="2">
        <v>2</v>
      </c>
      <c r="C78" s="2">
        <v>75</v>
      </c>
      <c r="D78" s="3" t="str">
        <f t="shared" si="6"/>
        <v>Q</v>
      </c>
      <c r="E78" s="2">
        <v>71</v>
      </c>
      <c r="F78" s="20"/>
      <c r="G78" s="20"/>
      <c r="I78" s="19">
        <f>COUNTIF(sorties,A78)</f>
        <v>1</v>
      </c>
      <c r="J78" s="19">
        <f>COUNTIF(Entrées,A78)</f>
        <v>1</v>
      </c>
      <c r="K78" s="19">
        <f t="shared" si="7"/>
        <v>0</v>
      </c>
      <c r="L78" s="19">
        <f t="shared" si="8"/>
        <v>3</v>
      </c>
      <c r="M78" s="19">
        <f t="shared" si="9"/>
        <v>-1</v>
      </c>
      <c r="N78" s="19">
        <f>COUNTIF(sorties,A78)</f>
        <v>1</v>
      </c>
      <c r="O78" s="19">
        <f>COUNTIF(Entrées,E78)</f>
        <v>1</v>
      </c>
      <c r="P78">
        <f t="shared" si="10"/>
        <v>2</v>
      </c>
    </row>
    <row r="79" spans="1:16" ht="15.75" thickBot="1" x14ac:dyDescent="0.3">
      <c r="A79" s="1">
        <v>75</v>
      </c>
      <c r="B79" s="2">
        <v>2</v>
      </c>
      <c r="C79" s="2">
        <v>70</v>
      </c>
      <c r="D79" s="3" t="str">
        <f t="shared" si="6"/>
        <v>P</v>
      </c>
      <c r="E79" s="2">
        <v>76</v>
      </c>
      <c r="F79" s="20"/>
      <c r="G79" s="20"/>
      <c r="I79" s="19">
        <f>COUNTIF(sorties,A79)</f>
        <v>1</v>
      </c>
      <c r="J79" s="19">
        <f>COUNTIF(Entrées,A79)</f>
        <v>1</v>
      </c>
      <c r="K79" s="19">
        <f t="shared" si="7"/>
        <v>0</v>
      </c>
      <c r="L79" s="19">
        <f t="shared" si="8"/>
        <v>3</v>
      </c>
      <c r="M79" s="19">
        <f t="shared" si="9"/>
        <v>-1</v>
      </c>
      <c r="N79" s="19">
        <f>COUNTIF(sorties,A79)</f>
        <v>1</v>
      </c>
      <c r="O79" s="19">
        <f>COUNTIF(Entrées,E79)</f>
        <v>1</v>
      </c>
      <c r="P79">
        <f t="shared" si="10"/>
        <v>2</v>
      </c>
    </row>
    <row r="80" spans="1:16" ht="15.75" thickBot="1" x14ac:dyDescent="0.3">
      <c r="A80" s="1">
        <v>76</v>
      </c>
      <c r="B80" s="2">
        <v>2</v>
      </c>
      <c r="C80" s="2">
        <v>77</v>
      </c>
      <c r="D80" s="3" t="str">
        <f t="shared" si="6"/>
        <v>Q</v>
      </c>
      <c r="E80" s="2">
        <v>69</v>
      </c>
      <c r="F80" s="20"/>
      <c r="G80" s="20"/>
      <c r="I80" s="19">
        <f>COUNTIF(sorties,A80)</f>
        <v>1</v>
      </c>
      <c r="J80" s="19">
        <f>COUNTIF(Entrées,A80)</f>
        <v>1</v>
      </c>
      <c r="K80" s="19">
        <f t="shared" si="7"/>
        <v>0</v>
      </c>
      <c r="L80" s="19">
        <f t="shared" si="8"/>
        <v>3</v>
      </c>
      <c r="M80" s="19">
        <f t="shared" si="9"/>
        <v>-1</v>
      </c>
      <c r="N80" s="19">
        <f>COUNTIF(sorties,A80)</f>
        <v>1</v>
      </c>
      <c r="O80" s="19">
        <f>COUNTIF(Entrées,E80)</f>
        <v>1</v>
      </c>
      <c r="P80">
        <f t="shared" si="10"/>
        <v>2</v>
      </c>
    </row>
    <row r="81" spans="1:16" ht="15.75" thickBot="1" x14ac:dyDescent="0.3">
      <c r="A81" s="1">
        <v>77</v>
      </c>
      <c r="B81" s="2">
        <v>2</v>
      </c>
      <c r="C81" s="2">
        <v>57</v>
      </c>
      <c r="D81" s="3" t="str">
        <f t="shared" si="6"/>
        <v>Q</v>
      </c>
      <c r="E81" s="2">
        <v>9</v>
      </c>
      <c r="F81" s="21"/>
      <c r="G81" s="21"/>
      <c r="I81" s="19">
        <f>COUNTIF(sorties,A81)</f>
        <v>1</v>
      </c>
      <c r="J81" s="19">
        <f>COUNTIF(Entrées,A81)</f>
        <v>1</v>
      </c>
      <c r="K81" s="19">
        <f t="shared" si="7"/>
        <v>0</v>
      </c>
      <c r="L81" s="19">
        <f t="shared" si="8"/>
        <v>3</v>
      </c>
      <c r="M81" s="19">
        <f t="shared" si="9"/>
        <v>-1</v>
      </c>
      <c r="N81" s="19">
        <f>COUNTIF(sorties,A81)</f>
        <v>1</v>
      </c>
      <c r="O81" s="19">
        <f>COUNTIF(Entrées,E81)</f>
        <v>1</v>
      </c>
      <c r="P81">
        <f t="shared" si="10"/>
        <v>2</v>
      </c>
    </row>
    <row r="82" spans="1:16" ht="15.75" thickBot="1" x14ac:dyDescent="0.3">
      <c r="A82" s="1">
        <v>78</v>
      </c>
      <c r="B82" s="2">
        <v>2</v>
      </c>
      <c r="C82" s="2">
        <v>10</v>
      </c>
      <c r="D82" s="3" t="str">
        <f t="shared" si="6"/>
        <v>P</v>
      </c>
      <c r="E82" s="2">
        <v>56</v>
      </c>
      <c r="F82" s="21"/>
      <c r="G82" s="21"/>
      <c r="I82" s="19">
        <f>COUNTIF(sorties,A82)</f>
        <v>1</v>
      </c>
      <c r="J82" s="19">
        <f>COUNTIF(Entrées,A82)</f>
        <v>1</v>
      </c>
      <c r="K82" s="19">
        <f t="shared" si="7"/>
        <v>0</v>
      </c>
      <c r="L82" s="19">
        <f t="shared" si="8"/>
        <v>3</v>
      </c>
      <c r="M82" s="19">
        <f t="shared" si="9"/>
        <v>-1</v>
      </c>
      <c r="N82" s="19">
        <f>COUNTIF(sorties,A82)</f>
        <v>1</v>
      </c>
      <c r="O82" s="19">
        <f>COUNTIF(Entrées,E82)</f>
        <v>1</v>
      </c>
      <c r="P82">
        <f t="shared" si="10"/>
        <v>2</v>
      </c>
    </row>
    <row r="83" spans="1:16" ht="15.75" thickBot="1" x14ac:dyDescent="0.3">
      <c r="A83" s="1">
        <v>79</v>
      </c>
      <c r="B83" s="2">
        <v>2</v>
      </c>
      <c r="C83" s="2">
        <v>55</v>
      </c>
      <c r="D83" s="3" t="str">
        <f t="shared" si="6"/>
        <v>Q</v>
      </c>
      <c r="E83" s="2">
        <v>11</v>
      </c>
      <c r="F83" s="21"/>
      <c r="G83" s="21"/>
      <c r="I83" s="19">
        <f>COUNTIF(sorties,A83)</f>
        <v>1</v>
      </c>
      <c r="J83" s="19">
        <f>COUNTIF(Entrées,A83)</f>
        <v>1</v>
      </c>
      <c r="K83" s="19">
        <f t="shared" si="7"/>
        <v>0</v>
      </c>
      <c r="L83" s="19">
        <f t="shared" si="8"/>
        <v>3</v>
      </c>
      <c r="M83" s="19">
        <f t="shared" si="9"/>
        <v>-1</v>
      </c>
      <c r="N83" s="19">
        <f>COUNTIF(sorties,A83)</f>
        <v>1</v>
      </c>
      <c r="O83" s="19">
        <f>COUNTIF(Entrées,E83)</f>
        <v>1</v>
      </c>
      <c r="P83">
        <f t="shared" si="10"/>
        <v>2</v>
      </c>
    </row>
    <row r="84" spans="1:16" ht="15.75" thickBot="1" x14ac:dyDescent="0.3">
      <c r="A84" s="1">
        <v>80</v>
      </c>
      <c r="B84" s="2">
        <v>2</v>
      </c>
      <c r="C84" s="2">
        <v>12</v>
      </c>
      <c r="D84" s="3" t="str">
        <f t="shared" si="6"/>
        <v>P</v>
      </c>
      <c r="E84" s="2">
        <v>54</v>
      </c>
      <c r="F84" s="21"/>
      <c r="G84" s="21"/>
      <c r="I84" s="19">
        <f>COUNTIF(sorties,A84)</f>
        <v>1</v>
      </c>
      <c r="J84" s="19">
        <f>COUNTIF(Entrées,A84)</f>
        <v>1</v>
      </c>
      <c r="K84" s="19">
        <f t="shared" si="7"/>
        <v>0</v>
      </c>
      <c r="L84" s="19">
        <f t="shared" si="8"/>
        <v>3</v>
      </c>
      <c r="M84" s="19">
        <f t="shared" si="9"/>
        <v>-1</v>
      </c>
      <c r="N84" s="19">
        <f>COUNTIF(sorties,A84)</f>
        <v>1</v>
      </c>
      <c r="O84" s="19">
        <f>COUNTIF(Entrées,E84)</f>
        <v>1</v>
      </c>
      <c r="P84">
        <f t="shared" si="10"/>
        <v>2</v>
      </c>
    </row>
  </sheetData>
  <mergeCells count="10">
    <mergeCell ref="I3:I4"/>
    <mergeCell ref="J3:J4"/>
    <mergeCell ref="K3:K4"/>
    <mergeCell ref="L3:L4"/>
    <mergeCell ref="M3:M4"/>
    <mergeCell ref="N3:N4"/>
    <mergeCell ref="O3:O4"/>
    <mergeCell ref="A2:E2"/>
    <mergeCell ref="A3:E3"/>
    <mergeCell ref="C4:E4"/>
  </mergeCells>
  <pageMargins left="0.7" right="0.7" top="0.75" bottom="0.75" header="0.3" footer="0.3"/>
  <pageSetup paperSize="9" scale="5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Icosagone</vt:lpstr>
      <vt:lpstr>Entrées</vt:lpstr>
      <vt:lpstr>sorties</vt:lpstr>
      <vt:lpstr>Icosagone!Zone_d_impression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TRUPIANO</dc:creator>
  <cp:lastModifiedBy>Norbert TRUPIANO</cp:lastModifiedBy>
  <cp:lastPrinted>2026-03-14T16:57:09Z</cp:lastPrinted>
  <dcterms:created xsi:type="dcterms:W3CDTF">2026-03-09T06:20:22Z</dcterms:created>
  <dcterms:modified xsi:type="dcterms:W3CDTF">2026-03-14T22:42:04Z</dcterms:modified>
</cp:coreProperties>
</file>