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giBrainding\Docs\"/>
    </mc:Choice>
  </mc:AlternateContent>
  <xr:revisionPtr revIDLastSave="0" documentId="13_ncr:1_{E74510B0-AB13-4EEC-906A-18279E3D154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3082-2" sheetId="1" r:id="rId1"/>
    <sheet name="3082-3 Horaire" sheetId="2" r:id="rId2"/>
    <sheet name="3082-3 Anti-Horaire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7" i="3" l="1"/>
  <c r="L67" i="3"/>
  <c r="H67" i="3"/>
  <c r="G67" i="3"/>
  <c r="M66" i="3"/>
  <c r="L66" i="3"/>
  <c r="H66" i="3"/>
  <c r="G66" i="3"/>
  <c r="M65" i="3"/>
  <c r="L65" i="3"/>
  <c r="H65" i="3"/>
  <c r="G65" i="3"/>
  <c r="M64" i="3"/>
  <c r="L64" i="3"/>
  <c r="H64" i="3"/>
  <c r="G64" i="3"/>
  <c r="M63" i="3"/>
  <c r="L63" i="3"/>
  <c r="H63" i="3"/>
  <c r="G63" i="3"/>
  <c r="M62" i="3"/>
  <c r="L62" i="3"/>
  <c r="H62" i="3"/>
  <c r="G62" i="3"/>
  <c r="M61" i="3"/>
  <c r="L61" i="3"/>
  <c r="H61" i="3"/>
  <c r="G61" i="3"/>
  <c r="M60" i="3"/>
  <c r="L60" i="3"/>
  <c r="H60" i="3"/>
  <c r="G60" i="3"/>
  <c r="M59" i="3"/>
  <c r="L59" i="3"/>
  <c r="H59" i="3"/>
  <c r="G59" i="3"/>
  <c r="M58" i="3"/>
  <c r="L58" i="3"/>
  <c r="H58" i="3"/>
  <c r="G58" i="3"/>
  <c r="M57" i="3"/>
  <c r="L57" i="3"/>
  <c r="H57" i="3"/>
  <c r="G57" i="3"/>
  <c r="M56" i="3"/>
  <c r="L56" i="3"/>
  <c r="H56" i="3"/>
  <c r="G56" i="3"/>
  <c r="M55" i="3"/>
  <c r="L55" i="3"/>
  <c r="H55" i="3"/>
  <c r="G55" i="3"/>
  <c r="M54" i="3"/>
  <c r="L54" i="3"/>
  <c r="H54" i="3"/>
  <c r="G54" i="3"/>
  <c r="M53" i="3"/>
  <c r="L53" i="3"/>
  <c r="H53" i="3"/>
  <c r="G53" i="3"/>
  <c r="M52" i="3"/>
  <c r="L52" i="3"/>
  <c r="H52" i="3"/>
  <c r="G52" i="3"/>
  <c r="M51" i="3"/>
  <c r="L51" i="3"/>
  <c r="H51" i="3"/>
  <c r="G51" i="3"/>
  <c r="M50" i="3"/>
  <c r="L50" i="3"/>
  <c r="H50" i="3"/>
  <c r="G50" i="3"/>
  <c r="M49" i="3"/>
  <c r="L49" i="3"/>
  <c r="H49" i="3"/>
  <c r="G49" i="3"/>
  <c r="M48" i="3"/>
  <c r="L48" i="3"/>
  <c r="H48" i="3"/>
  <c r="G48" i="3"/>
  <c r="M47" i="3"/>
  <c r="L47" i="3"/>
  <c r="H47" i="3"/>
  <c r="G47" i="3"/>
  <c r="M46" i="3"/>
  <c r="L46" i="3"/>
  <c r="H46" i="3"/>
  <c r="G46" i="3"/>
  <c r="M45" i="3"/>
  <c r="L45" i="3"/>
  <c r="H45" i="3"/>
  <c r="G45" i="3"/>
  <c r="M44" i="3"/>
  <c r="L44" i="3"/>
  <c r="H44" i="3"/>
  <c r="G44" i="3"/>
  <c r="M43" i="3"/>
  <c r="L43" i="3"/>
  <c r="H43" i="3"/>
  <c r="G43" i="3"/>
  <c r="M42" i="3"/>
  <c r="L42" i="3"/>
  <c r="H42" i="3"/>
  <c r="G42" i="3"/>
  <c r="M41" i="3"/>
  <c r="L41" i="3"/>
  <c r="H41" i="3"/>
  <c r="G41" i="3"/>
  <c r="M40" i="3"/>
  <c r="L40" i="3"/>
  <c r="H40" i="3"/>
  <c r="G40" i="3"/>
  <c r="M39" i="3"/>
  <c r="L39" i="3"/>
  <c r="H39" i="3"/>
  <c r="G39" i="3"/>
  <c r="M38" i="3"/>
  <c r="L38" i="3"/>
  <c r="H38" i="3"/>
  <c r="G38" i="3"/>
  <c r="M37" i="3"/>
  <c r="L37" i="3"/>
  <c r="H37" i="3"/>
  <c r="G37" i="3"/>
  <c r="M36" i="3"/>
  <c r="L36" i="3"/>
  <c r="H36" i="3"/>
  <c r="G36" i="3"/>
  <c r="M35" i="3"/>
  <c r="L35" i="3"/>
  <c r="H35" i="3"/>
  <c r="G35" i="3"/>
  <c r="M34" i="3"/>
  <c r="L34" i="3"/>
  <c r="H34" i="3"/>
  <c r="G34" i="3"/>
  <c r="M33" i="3"/>
  <c r="L33" i="3"/>
  <c r="H33" i="3"/>
  <c r="G33" i="3"/>
  <c r="M32" i="3"/>
  <c r="L32" i="3"/>
  <c r="H32" i="3"/>
  <c r="G32" i="3"/>
  <c r="M31" i="3"/>
  <c r="L31" i="3"/>
  <c r="H31" i="3"/>
  <c r="G31" i="3"/>
  <c r="M30" i="3"/>
  <c r="L30" i="3"/>
  <c r="H30" i="3"/>
  <c r="G30" i="3"/>
  <c r="M29" i="3"/>
  <c r="L29" i="3"/>
  <c r="H29" i="3"/>
  <c r="G29" i="3"/>
  <c r="M28" i="3"/>
  <c r="L28" i="3"/>
  <c r="H28" i="3"/>
  <c r="G28" i="3"/>
  <c r="M27" i="3"/>
  <c r="L27" i="3"/>
  <c r="H27" i="3"/>
  <c r="G27" i="3"/>
  <c r="M26" i="3"/>
  <c r="L26" i="3"/>
  <c r="H26" i="3"/>
  <c r="G26" i="3"/>
  <c r="M25" i="3"/>
  <c r="L25" i="3"/>
  <c r="H25" i="3"/>
  <c r="G25" i="3"/>
  <c r="M24" i="3"/>
  <c r="L24" i="3"/>
  <c r="H24" i="3"/>
  <c r="G24" i="3"/>
  <c r="M23" i="3"/>
  <c r="L23" i="3"/>
  <c r="H23" i="3"/>
  <c r="G23" i="3"/>
  <c r="M22" i="3"/>
  <c r="L22" i="3"/>
  <c r="H22" i="3"/>
  <c r="G22" i="3"/>
  <c r="M21" i="3"/>
  <c r="L21" i="3"/>
  <c r="H21" i="3"/>
  <c r="G21" i="3"/>
  <c r="M20" i="3"/>
  <c r="L20" i="3"/>
  <c r="H20" i="3"/>
  <c r="G20" i="3"/>
  <c r="M19" i="3"/>
  <c r="L19" i="3"/>
  <c r="H19" i="3"/>
  <c r="G19" i="3"/>
  <c r="M18" i="3"/>
  <c r="L18" i="3"/>
  <c r="H18" i="3"/>
  <c r="G18" i="3"/>
  <c r="M17" i="3"/>
  <c r="L17" i="3"/>
  <c r="H17" i="3"/>
  <c r="G17" i="3"/>
  <c r="M16" i="3"/>
  <c r="L16" i="3"/>
  <c r="H16" i="3"/>
  <c r="G16" i="3"/>
  <c r="M15" i="3"/>
  <c r="L15" i="3"/>
  <c r="H15" i="3"/>
  <c r="G15" i="3"/>
  <c r="M14" i="3"/>
  <c r="L14" i="3"/>
  <c r="H14" i="3"/>
  <c r="G14" i="3"/>
  <c r="M13" i="3"/>
  <c r="L13" i="3"/>
  <c r="H13" i="3"/>
  <c r="G13" i="3"/>
  <c r="M12" i="3"/>
  <c r="L12" i="3"/>
  <c r="H12" i="3"/>
  <c r="G12" i="3"/>
  <c r="M11" i="3"/>
  <c r="L11" i="3"/>
  <c r="H11" i="3"/>
  <c r="G11" i="3"/>
  <c r="M10" i="3"/>
  <c r="L10" i="3"/>
  <c r="H10" i="3"/>
  <c r="G10" i="3"/>
  <c r="M9" i="3"/>
  <c r="L9" i="3"/>
  <c r="H9" i="3"/>
  <c r="G9" i="3"/>
  <c r="M8" i="3"/>
  <c r="L8" i="3"/>
  <c r="H8" i="3"/>
  <c r="G8" i="3"/>
  <c r="M7" i="3"/>
  <c r="L7" i="3"/>
  <c r="H7" i="3"/>
  <c r="G7" i="3"/>
  <c r="M6" i="3"/>
  <c r="L6" i="3"/>
  <c r="H6" i="3"/>
  <c r="G6" i="3"/>
  <c r="M5" i="3"/>
  <c r="L5" i="3"/>
  <c r="H5" i="3"/>
  <c r="G5" i="3"/>
  <c r="M4" i="3"/>
  <c r="L4" i="3"/>
  <c r="H4" i="3"/>
  <c r="G4" i="3"/>
  <c r="N52" i="1"/>
  <c r="M52" i="1"/>
  <c r="I52" i="1"/>
  <c r="H52" i="1"/>
  <c r="N51" i="1"/>
  <c r="M51" i="1"/>
  <c r="I51" i="1"/>
  <c r="H51" i="1"/>
  <c r="J51" i="1" s="1"/>
  <c r="K51" i="1" s="1"/>
  <c r="L51" i="1" s="1"/>
  <c r="N50" i="1"/>
  <c r="M50" i="1"/>
  <c r="I50" i="1"/>
  <c r="H50" i="1"/>
  <c r="N49" i="1"/>
  <c r="M49" i="1"/>
  <c r="I49" i="1"/>
  <c r="H49" i="1"/>
  <c r="N48" i="1"/>
  <c r="M48" i="1"/>
  <c r="I48" i="1"/>
  <c r="H48" i="1"/>
  <c r="N47" i="1"/>
  <c r="M47" i="1"/>
  <c r="I47" i="1"/>
  <c r="H47" i="1"/>
  <c r="N46" i="1"/>
  <c r="M46" i="1"/>
  <c r="I46" i="1"/>
  <c r="J46" i="1" s="1"/>
  <c r="K46" i="1" s="1"/>
  <c r="L46" i="1" s="1"/>
  <c r="H46" i="1"/>
  <c r="N45" i="1"/>
  <c r="M45" i="1"/>
  <c r="I45" i="1"/>
  <c r="H45" i="1"/>
  <c r="N44" i="1"/>
  <c r="M44" i="1"/>
  <c r="I44" i="1"/>
  <c r="H44" i="1"/>
  <c r="N43" i="1"/>
  <c r="M43" i="1"/>
  <c r="I43" i="1"/>
  <c r="H43" i="1"/>
  <c r="N42" i="1"/>
  <c r="M42" i="1"/>
  <c r="I42" i="1"/>
  <c r="H42" i="1"/>
  <c r="N41" i="1"/>
  <c r="M41" i="1"/>
  <c r="I41" i="1"/>
  <c r="H41" i="1"/>
  <c r="N40" i="1"/>
  <c r="M40" i="1"/>
  <c r="I40" i="1"/>
  <c r="J40" i="1" s="1"/>
  <c r="K40" i="1" s="1"/>
  <c r="L40" i="1" s="1"/>
  <c r="H40" i="1"/>
  <c r="N39" i="1"/>
  <c r="M39" i="1"/>
  <c r="I39" i="1"/>
  <c r="H39" i="1"/>
  <c r="N38" i="1"/>
  <c r="M38" i="1"/>
  <c r="I38" i="1"/>
  <c r="J38" i="1" s="1"/>
  <c r="K38" i="1" s="1"/>
  <c r="L38" i="1" s="1"/>
  <c r="H38" i="1"/>
  <c r="N37" i="1"/>
  <c r="M37" i="1"/>
  <c r="I37" i="1"/>
  <c r="H37" i="1"/>
  <c r="N36" i="1"/>
  <c r="M36" i="1"/>
  <c r="I36" i="1"/>
  <c r="H36" i="1"/>
  <c r="N35" i="1"/>
  <c r="M35" i="1"/>
  <c r="I35" i="1"/>
  <c r="H35" i="1"/>
  <c r="N34" i="1"/>
  <c r="M34" i="1"/>
  <c r="I34" i="1"/>
  <c r="H34" i="1"/>
  <c r="N33" i="1"/>
  <c r="M33" i="1"/>
  <c r="I33" i="1"/>
  <c r="H33" i="1"/>
  <c r="N32" i="1"/>
  <c r="M32" i="1"/>
  <c r="I32" i="1"/>
  <c r="J32" i="1" s="1"/>
  <c r="K32" i="1" s="1"/>
  <c r="L32" i="1" s="1"/>
  <c r="H32" i="1"/>
  <c r="N31" i="1"/>
  <c r="M31" i="1"/>
  <c r="I31" i="1"/>
  <c r="H31" i="1"/>
  <c r="N30" i="1"/>
  <c r="M30" i="1"/>
  <c r="J30" i="1"/>
  <c r="K30" i="1" s="1"/>
  <c r="L30" i="1" s="1"/>
  <c r="I30" i="1"/>
  <c r="H30" i="1"/>
  <c r="N29" i="1"/>
  <c r="M29" i="1"/>
  <c r="I29" i="1"/>
  <c r="H29" i="1"/>
  <c r="N28" i="1"/>
  <c r="M28" i="1"/>
  <c r="I28" i="1"/>
  <c r="H28" i="1"/>
  <c r="N27" i="1"/>
  <c r="M27" i="1"/>
  <c r="I27" i="1"/>
  <c r="H27" i="1"/>
  <c r="N26" i="1"/>
  <c r="M26" i="1"/>
  <c r="I26" i="1"/>
  <c r="H26" i="1"/>
  <c r="N25" i="1"/>
  <c r="M25" i="1"/>
  <c r="I25" i="1"/>
  <c r="H25" i="1"/>
  <c r="N24" i="1"/>
  <c r="M24" i="1"/>
  <c r="I24" i="1"/>
  <c r="J24" i="1" s="1"/>
  <c r="K24" i="1" s="1"/>
  <c r="L24" i="1" s="1"/>
  <c r="H24" i="1"/>
  <c r="N23" i="1"/>
  <c r="M23" i="1"/>
  <c r="I23" i="1"/>
  <c r="H23" i="1"/>
  <c r="N22" i="1"/>
  <c r="M22" i="1"/>
  <c r="I22" i="1"/>
  <c r="J22" i="1" s="1"/>
  <c r="K22" i="1" s="1"/>
  <c r="L22" i="1" s="1"/>
  <c r="H22" i="1"/>
  <c r="N21" i="1"/>
  <c r="M21" i="1"/>
  <c r="I21" i="1"/>
  <c r="H21" i="1"/>
  <c r="N20" i="1"/>
  <c r="M20" i="1"/>
  <c r="I20" i="1"/>
  <c r="H20" i="1"/>
  <c r="N19" i="1"/>
  <c r="M19" i="1"/>
  <c r="I19" i="1"/>
  <c r="H19" i="1"/>
  <c r="N18" i="1"/>
  <c r="M18" i="1"/>
  <c r="I18" i="1"/>
  <c r="H18" i="1"/>
  <c r="N17" i="1"/>
  <c r="M17" i="1"/>
  <c r="I17" i="1"/>
  <c r="H17" i="1"/>
  <c r="N16" i="1"/>
  <c r="M16" i="1"/>
  <c r="I16" i="1"/>
  <c r="J16" i="1" s="1"/>
  <c r="K16" i="1" s="1"/>
  <c r="L16" i="1" s="1"/>
  <c r="H16" i="1"/>
  <c r="N15" i="1"/>
  <c r="M15" i="1"/>
  <c r="I15" i="1"/>
  <c r="H15" i="1"/>
  <c r="N14" i="1"/>
  <c r="M14" i="1"/>
  <c r="J14" i="1"/>
  <c r="K14" i="1" s="1"/>
  <c r="L14" i="1" s="1"/>
  <c r="I14" i="1"/>
  <c r="H14" i="1"/>
  <c r="N13" i="1"/>
  <c r="M13" i="1"/>
  <c r="I13" i="1"/>
  <c r="H13" i="1"/>
  <c r="J13" i="1" s="1"/>
  <c r="K13" i="1" s="1"/>
  <c r="L13" i="1" s="1"/>
  <c r="N12" i="1"/>
  <c r="M12" i="1"/>
  <c r="I12" i="1"/>
  <c r="H12" i="1"/>
  <c r="N11" i="1"/>
  <c r="M11" i="1"/>
  <c r="I11" i="1"/>
  <c r="H11" i="1"/>
  <c r="J11" i="1" s="1"/>
  <c r="K11" i="1" s="1"/>
  <c r="L11" i="1" s="1"/>
  <c r="N10" i="1"/>
  <c r="M10" i="1"/>
  <c r="I10" i="1"/>
  <c r="H10" i="1"/>
  <c r="N9" i="1"/>
  <c r="M9" i="1"/>
  <c r="I9" i="1"/>
  <c r="H9" i="1"/>
  <c r="N8" i="1"/>
  <c r="M8" i="1"/>
  <c r="I8" i="1"/>
  <c r="H8" i="1"/>
  <c r="N7" i="1"/>
  <c r="M7" i="1"/>
  <c r="I7" i="1"/>
  <c r="H7" i="1"/>
  <c r="N6" i="1"/>
  <c r="M6" i="1"/>
  <c r="I6" i="1"/>
  <c r="H6" i="1"/>
  <c r="N5" i="1"/>
  <c r="M5" i="1"/>
  <c r="I5" i="1"/>
  <c r="H5" i="1"/>
  <c r="N4" i="1"/>
  <c r="M4" i="1"/>
  <c r="I4" i="1"/>
  <c r="H4" i="1"/>
  <c r="N3" i="1"/>
  <c r="M3" i="1"/>
  <c r="H3" i="1"/>
  <c r="I3" i="1"/>
  <c r="M67" i="2"/>
  <c r="L67" i="2"/>
  <c r="H67" i="2"/>
  <c r="I67" i="2" s="1"/>
  <c r="J67" i="2" s="1"/>
  <c r="G67" i="2"/>
  <c r="M66" i="2"/>
  <c r="L66" i="2"/>
  <c r="H66" i="2"/>
  <c r="I66" i="2" s="1"/>
  <c r="J66" i="2" s="1"/>
  <c r="G66" i="2"/>
  <c r="M65" i="2"/>
  <c r="L65" i="2"/>
  <c r="I65" i="2"/>
  <c r="J65" i="2" s="1"/>
  <c r="H65" i="2"/>
  <c r="G65" i="2"/>
  <c r="M64" i="2"/>
  <c r="L64" i="2"/>
  <c r="H64" i="2"/>
  <c r="G64" i="2"/>
  <c r="M63" i="2"/>
  <c r="L63" i="2"/>
  <c r="H63" i="2"/>
  <c r="I63" i="2" s="1"/>
  <c r="J63" i="2" s="1"/>
  <c r="G63" i="2"/>
  <c r="M62" i="2"/>
  <c r="L62" i="2"/>
  <c r="H62" i="2"/>
  <c r="G62" i="2"/>
  <c r="M61" i="2"/>
  <c r="L61" i="2"/>
  <c r="H61" i="2"/>
  <c r="G61" i="2"/>
  <c r="M60" i="2"/>
  <c r="L60" i="2"/>
  <c r="H60" i="2"/>
  <c r="G60" i="2"/>
  <c r="M59" i="2"/>
  <c r="L59" i="2"/>
  <c r="H59" i="2"/>
  <c r="G59" i="2"/>
  <c r="M58" i="2"/>
  <c r="L58" i="2"/>
  <c r="H58" i="2"/>
  <c r="G58" i="2"/>
  <c r="M57" i="2"/>
  <c r="L57" i="2"/>
  <c r="H57" i="2"/>
  <c r="I57" i="2" s="1"/>
  <c r="J57" i="2" s="1"/>
  <c r="G57" i="2"/>
  <c r="M56" i="2"/>
  <c r="L56" i="2"/>
  <c r="H56" i="2"/>
  <c r="G56" i="2"/>
  <c r="M55" i="2"/>
  <c r="L55" i="2"/>
  <c r="H55" i="2"/>
  <c r="I55" i="2" s="1"/>
  <c r="J55" i="2" s="1"/>
  <c r="K55" i="2" s="1"/>
  <c r="G55" i="2"/>
  <c r="M54" i="2"/>
  <c r="L54" i="2"/>
  <c r="H54" i="2"/>
  <c r="G54" i="2"/>
  <c r="M53" i="2"/>
  <c r="L53" i="2"/>
  <c r="H53" i="2"/>
  <c r="I53" i="2" s="1"/>
  <c r="J53" i="2" s="1"/>
  <c r="G53" i="2"/>
  <c r="M52" i="2"/>
  <c r="L52" i="2"/>
  <c r="H52" i="2"/>
  <c r="G52" i="2"/>
  <c r="M51" i="2"/>
  <c r="L51" i="2"/>
  <c r="H51" i="2"/>
  <c r="I51" i="2" s="1"/>
  <c r="J51" i="2" s="1"/>
  <c r="G51" i="2"/>
  <c r="M50" i="2"/>
  <c r="L50" i="2"/>
  <c r="H50" i="2"/>
  <c r="I50" i="2" s="1"/>
  <c r="J50" i="2" s="1"/>
  <c r="G50" i="2"/>
  <c r="M49" i="2"/>
  <c r="L49" i="2"/>
  <c r="H49" i="2"/>
  <c r="G49" i="2"/>
  <c r="I49" i="2" s="1"/>
  <c r="J49" i="2" s="1"/>
  <c r="M48" i="2"/>
  <c r="L48" i="2"/>
  <c r="H48" i="2"/>
  <c r="G48" i="2"/>
  <c r="M47" i="2"/>
  <c r="L47" i="2"/>
  <c r="H47" i="2"/>
  <c r="G47" i="2"/>
  <c r="M46" i="2"/>
  <c r="L46" i="2"/>
  <c r="H46" i="2"/>
  <c r="G46" i="2"/>
  <c r="M45" i="2"/>
  <c r="L45" i="2"/>
  <c r="H45" i="2"/>
  <c r="G45" i="2"/>
  <c r="M44" i="2"/>
  <c r="L44" i="2"/>
  <c r="H44" i="2"/>
  <c r="G44" i="2"/>
  <c r="M43" i="2"/>
  <c r="L43" i="2"/>
  <c r="H43" i="2"/>
  <c r="G43" i="2"/>
  <c r="M42" i="2"/>
  <c r="L42" i="2"/>
  <c r="H42" i="2"/>
  <c r="G42" i="2"/>
  <c r="M41" i="2"/>
  <c r="L41" i="2"/>
  <c r="H41" i="2"/>
  <c r="I41" i="2" s="1"/>
  <c r="J41" i="2" s="1"/>
  <c r="K41" i="2" s="1"/>
  <c r="G41" i="2"/>
  <c r="M40" i="2"/>
  <c r="L40" i="2"/>
  <c r="H40" i="2"/>
  <c r="I40" i="2" s="1"/>
  <c r="J40" i="2" s="1"/>
  <c r="G40" i="2"/>
  <c r="M39" i="2"/>
  <c r="L39" i="2"/>
  <c r="H39" i="2"/>
  <c r="G39" i="2"/>
  <c r="M38" i="2"/>
  <c r="L38" i="2"/>
  <c r="H38" i="2"/>
  <c r="G38" i="2"/>
  <c r="M37" i="2"/>
  <c r="L37" i="2"/>
  <c r="H37" i="2"/>
  <c r="I37" i="2" s="1"/>
  <c r="J37" i="2" s="1"/>
  <c r="G37" i="2"/>
  <c r="M36" i="2"/>
  <c r="L36" i="2"/>
  <c r="H36" i="2"/>
  <c r="G36" i="2"/>
  <c r="M35" i="2"/>
  <c r="L35" i="2"/>
  <c r="H35" i="2"/>
  <c r="I35" i="2" s="1"/>
  <c r="J35" i="2" s="1"/>
  <c r="G35" i="2"/>
  <c r="M34" i="2"/>
  <c r="L34" i="2"/>
  <c r="H34" i="2"/>
  <c r="I34" i="2" s="1"/>
  <c r="J34" i="2" s="1"/>
  <c r="G34" i="2"/>
  <c r="M33" i="2"/>
  <c r="L33" i="2"/>
  <c r="I33" i="2"/>
  <c r="J33" i="2" s="1"/>
  <c r="H33" i="2"/>
  <c r="G33" i="2"/>
  <c r="M32" i="2"/>
  <c r="L32" i="2"/>
  <c r="H32" i="2"/>
  <c r="G32" i="2"/>
  <c r="M31" i="2"/>
  <c r="L31" i="2"/>
  <c r="H31" i="2"/>
  <c r="G31" i="2"/>
  <c r="I31" i="2" s="1"/>
  <c r="J31" i="2" s="1"/>
  <c r="M30" i="2"/>
  <c r="L30" i="2"/>
  <c r="H30" i="2"/>
  <c r="G30" i="2"/>
  <c r="M29" i="2"/>
  <c r="L29" i="2"/>
  <c r="H29" i="2"/>
  <c r="G29" i="2"/>
  <c r="M28" i="2"/>
  <c r="L28" i="2"/>
  <c r="H28" i="2"/>
  <c r="G28" i="2"/>
  <c r="M27" i="2"/>
  <c r="L27" i="2"/>
  <c r="H27" i="2"/>
  <c r="G27" i="2"/>
  <c r="M26" i="2"/>
  <c r="L26" i="2"/>
  <c r="H26" i="2"/>
  <c r="G26" i="2"/>
  <c r="M25" i="2"/>
  <c r="L25" i="2"/>
  <c r="H25" i="2"/>
  <c r="G25" i="2"/>
  <c r="M24" i="2"/>
  <c r="L24" i="2"/>
  <c r="H24" i="2"/>
  <c r="G24" i="2"/>
  <c r="M23" i="2"/>
  <c r="L23" i="2"/>
  <c r="H23" i="2"/>
  <c r="G23" i="2"/>
  <c r="M22" i="2"/>
  <c r="L22" i="2"/>
  <c r="H22" i="2"/>
  <c r="G22" i="2"/>
  <c r="M21" i="2"/>
  <c r="L21" i="2"/>
  <c r="H21" i="2"/>
  <c r="G21" i="2"/>
  <c r="M20" i="2"/>
  <c r="L20" i="2"/>
  <c r="H20" i="2"/>
  <c r="G20" i="2"/>
  <c r="M19" i="2"/>
  <c r="L19" i="2"/>
  <c r="H19" i="2"/>
  <c r="G19" i="2"/>
  <c r="M18" i="2"/>
  <c r="L18" i="2"/>
  <c r="H18" i="2"/>
  <c r="G18" i="2"/>
  <c r="M17" i="2"/>
  <c r="L17" i="2"/>
  <c r="H17" i="2"/>
  <c r="G17" i="2"/>
  <c r="M16" i="2"/>
  <c r="L16" i="2"/>
  <c r="H16" i="2"/>
  <c r="G16" i="2"/>
  <c r="M15" i="2"/>
  <c r="L15" i="2"/>
  <c r="H15" i="2"/>
  <c r="G15" i="2"/>
  <c r="M14" i="2"/>
  <c r="L14" i="2"/>
  <c r="H14" i="2"/>
  <c r="G14" i="2"/>
  <c r="M13" i="2"/>
  <c r="L13" i="2"/>
  <c r="H13" i="2"/>
  <c r="G13" i="2"/>
  <c r="M12" i="2"/>
  <c r="L12" i="2"/>
  <c r="H12" i="2"/>
  <c r="G12" i="2"/>
  <c r="M11" i="2"/>
  <c r="L11" i="2"/>
  <c r="H11" i="2"/>
  <c r="G11" i="2"/>
  <c r="M10" i="2"/>
  <c r="L10" i="2"/>
  <c r="H10" i="2"/>
  <c r="G10" i="2"/>
  <c r="M9" i="2"/>
  <c r="L9" i="2"/>
  <c r="H9" i="2"/>
  <c r="G9" i="2"/>
  <c r="M8" i="2"/>
  <c r="L8" i="2"/>
  <c r="H8" i="2"/>
  <c r="G8" i="2"/>
  <c r="M7" i="2"/>
  <c r="L7" i="2"/>
  <c r="H7" i="2"/>
  <c r="G7" i="2"/>
  <c r="M6" i="2"/>
  <c r="L6" i="2"/>
  <c r="H6" i="2"/>
  <c r="G6" i="2"/>
  <c r="M5" i="2"/>
  <c r="L5" i="2"/>
  <c r="H5" i="2"/>
  <c r="G5" i="2"/>
  <c r="M4" i="2"/>
  <c r="L4" i="2"/>
  <c r="H4" i="2"/>
  <c r="G4" i="2"/>
  <c r="AH52" i="1"/>
  <c r="AG52" i="1"/>
  <c r="AC52" i="1"/>
  <c r="AB52" i="1"/>
  <c r="AH51" i="1"/>
  <c r="AG51" i="1"/>
  <c r="AC51" i="1"/>
  <c r="AB51" i="1"/>
  <c r="AH50" i="1"/>
  <c r="AG50" i="1"/>
  <c r="AC50" i="1"/>
  <c r="AB50" i="1"/>
  <c r="AH49" i="1"/>
  <c r="AG49" i="1"/>
  <c r="AC49" i="1"/>
  <c r="AB49" i="1"/>
  <c r="AH48" i="1"/>
  <c r="AG48" i="1"/>
  <c r="AC48" i="1"/>
  <c r="AB48" i="1"/>
  <c r="AH47" i="1"/>
  <c r="AG47" i="1"/>
  <c r="AC47" i="1"/>
  <c r="AB47" i="1"/>
  <c r="AH46" i="1"/>
  <c r="AG46" i="1"/>
  <c r="AC46" i="1"/>
  <c r="AB46" i="1"/>
  <c r="AH45" i="1"/>
  <c r="AG45" i="1"/>
  <c r="AC45" i="1"/>
  <c r="AB45" i="1"/>
  <c r="AH44" i="1"/>
  <c r="AG44" i="1"/>
  <c r="AC44" i="1"/>
  <c r="AB44" i="1"/>
  <c r="AH43" i="1"/>
  <c r="AG43" i="1"/>
  <c r="AC43" i="1"/>
  <c r="AB43" i="1"/>
  <c r="AH42" i="1"/>
  <c r="AG42" i="1"/>
  <c r="AC42" i="1"/>
  <c r="AB42" i="1"/>
  <c r="AH41" i="1"/>
  <c r="AG41" i="1"/>
  <c r="AC41" i="1"/>
  <c r="AB41" i="1"/>
  <c r="AH40" i="1"/>
  <c r="AG40" i="1"/>
  <c r="AC40" i="1"/>
  <c r="AB40" i="1"/>
  <c r="AH39" i="1"/>
  <c r="AG39" i="1"/>
  <c r="AC39" i="1"/>
  <c r="AB39" i="1"/>
  <c r="AH38" i="1"/>
  <c r="AG38" i="1"/>
  <c r="AC38" i="1"/>
  <c r="AB38" i="1"/>
  <c r="AH37" i="1"/>
  <c r="AG37" i="1"/>
  <c r="AC37" i="1"/>
  <c r="AB37" i="1"/>
  <c r="AH36" i="1"/>
  <c r="AG36" i="1"/>
  <c r="AC36" i="1"/>
  <c r="AB36" i="1"/>
  <c r="AH35" i="1"/>
  <c r="AG35" i="1"/>
  <c r="AC35" i="1"/>
  <c r="AB35" i="1"/>
  <c r="AH34" i="1"/>
  <c r="AG34" i="1"/>
  <c r="AC34" i="1"/>
  <c r="AB34" i="1"/>
  <c r="AH33" i="1"/>
  <c r="AG33" i="1"/>
  <c r="AC33" i="1"/>
  <c r="AB33" i="1"/>
  <c r="AH32" i="1"/>
  <c r="AG32" i="1"/>
  <c r="AC32" i="1"/>
  <c r="AB32" i="1"/>
  <c r="AH31" i="1"/>
  <c r="AG31" i="1"/>
  <c r="AC31" i="1"/>
  <c r="AB31" i="1"/>
  <c r="AH30" i="1"/>
  <c r="AG30" i="1"/>
  <c r="AC30" i="1"/>
  <c r="AB30" i="1"/>
  <c r="AH29" i="1"/>
  <c r="AG29" i="1"/>
  <c r="AC29" i="1"/>
  <c r="AB29" i="1"/>
  <c r="AH28" i="1"/>
  <c r="AG28" i="1"/>
  <c r="AC28" i="1"/>
  <c r="AB28" i="1"/>
  <c r="AH27" i="1"/>
  <c r="AG27" i="1"/>
  <c r="AC27" i="1"/>
  <c r="AB27" i="1"/>
  <c r="AH26" i="1"/>
  <c r="AG26" i="1"/>
  <c r="AC26" i="1"/>
  <c r="AB26" i="1"/>
  <c r="AH25" i="1"/>
  <c r="AG25" i="1"/>
  <c r="AC25" i="1"/>
  <c r="AB25" i="1"/>
  <c r="AH24" i="1"/>
  <c r="AG24" i="1"/>
  <c r="AC24" i="1"/>
  <c r="AB24" i="1"/>
  <c r="AH23" i="1"/>
  <c r="AG23" i="1"/>
  <c r="AC23" i="1"/>
  <c r="AB23" i="1"/>
  <c r="AH22" i="1"/>
  <c r="AG22" i="1"/>
  <c r="AC22" i="1"/>
  <c r="AB22" i="1"/>
  <c r="AH21" i="1"/>
  <c r="AG21" i="1"/>
  <c r="AC21" i="1"/>
  <c r="AB21" i="1"/>
  <c r="AH20" i="1"/>
  <c r="AG20" i="1"/>
  <c r="AC20" i="1"/>
  <c r="AB20" i="1"/>
  <c r="AH19" i="1"/>
  <c r="AG19" i="1"/>
  <c r="AC19" i="1"/>
  <c r="AB19" i="1"/>
  <c r="AH18" i="1"/>
  <c r="AG18" i="1"/>
  <c r="AC18" i="1"/>
  <c r="AB18" i="1"/>
  <c r="AH17" i="1"/>
  <c r="AG17" i="1"/>
  <c r="AC17" i="1"/>
  <c r="AB17" i="1"/>
  <c r="AH16" i="1"/>
  <c r="AG16" i="1"/>
  <c r="AC16" i="1"/>
  <c r="AB16" i="1"/>
  <c r="AH15" i="1"/>
  <c r="AG15" i="1"/>
  <c r="AC15" i="1"/>
  <c r="AB15" i="1"/>
  <c r="AH14" i="1"/>
  <c r="AG14" i="1"/>
  <c r="AC14" i="1"/>
  <c r="AB14" i="1"/>
  <c r="AH13" i="1"/>
  <c r="AG13" i="1"/>
  <c r="AC13" i="1"/>
  <c r="AB13" i="1"/>
  <c r="AH12" i="1"/>
  <c r="AG12" i="1"/>
  <c r="AC12" i="1"/>
  <c r="AB12" i="1"/>
  <c r="AH11" i="1"/>
  <c r="AG11" i="1"/>
  <c r="AC11" i="1"/>
  <c r="AB11" i="1"/>
  <c r="AH10" i="1"/>
  <c r="AG10" i="1"/>
  <c r="AC10" i="1"/>
  <c r="AB10" i="1"/>
  <c r="AH9" i="1"/>
  <c r="AG9" i="1"/>
  <c r="AC9" i="1"/>
  <c r="AB9" i="1"/>
  <c r="AH8" i="1"/>
  <c r="AG8" i="1"/>
  <c r="AC8" i="1"/>
  <c r="AB8" i="1"/>
  <c r="AH7" i="1"/>
  <c r="AG7" i="1"/>
  <c r="AC7" i="1"/>
  <c r="AB7" i="1"/>
  <c r="AH6" i="1"/>
  <c r="AG6" i="1"/>
  <c r="AC6" i="1"/>
  <c r="AB6" i="1"/>
  <c r="AH5" i="1"/>
  <c r="AG5" i="1"/>
  <c r="AC5" i="1"/>
  <c r="AB5" i="1"/>
  <c r="AH4" i="1"/>
  <c r="AG4" i="1"/>
  <c r="AC4" i="1"/>
  <c r="AB4" i="1"/>
  <c r="AH3" i="1"/>
  <c r="AG3" i="1"/>
  <c r="AC3" i="1"/>
  <c r="AB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I42" i="2" l="1"/>
  <c r="J42" i="2" s="1"/>
  <c r="I43" i="2"/>
  <c r="J43" i="2" s="1"/>
  <c r="I45" i="2"/>
  <c r="J45" i="2" s="1"/>
  <c r="K45" i="2" s="1"/>
  <c r="N45" i="2" s="1"/>
  <c r="I47" i="2"/>
  <c r="J47" i="2" s="1"/>
  <c r="K47" i="2" s="1"/>
  <c r="N47" i="2" s="1"/>
  <c r="I4" i="2"/>
  <c r="J4" i="2" s="1"/>
  <c r="I5" i="2"/>
  <c r="J5" i="2" s="1"/>
  <c r="I6" i="2"/>
  <c r="J6" i="2" s="1"/>
  <c r="K6" i="2" s="1"/>
  <c r="N6" i="2" s="1"/>
  <c r="I7" i="2"/>
  <c r="J7" i="2" s="1"/>
  <c r="K7" i="2" s="1"/>
  <c r="N7" i="2" s="1"/>
  <c r="I8" i="2"/>
  <c r="J8" i="2" s="1"/>
  <c r="I9" i="2"/>
  <c r="J9" i="2" s="1"/>
  <c r="I10" i="2"/>
  <c r="J10" i="2" s="1"/>
  <c r="I11" i="2"/>
  <c r="J11" i="2" s="1"/>
  <c r="K11" i="2" s="1"/>
  <c r="I12" i="2"/>
  <c r="J12" i="2" s="1"/>
  <c r="I13" i="2"/>
  <c r="J13" i="2" s="1"/>
  <c r="I14" i="2"/>
  <c r="J14" i="2" s="1"/>
  <c r="N14" i="2" s="1"/>
  <c r="I15" i="2"/>
  <c r="J15" i="2" s="1"/>
  <c r="K15" i="2" s="1"/>
  <c r="N15" i="2" s="1"/>
  <c r="I16" i="2"/>
  <c r="J16" i="2" s="1"/>
  <c r="I17" i="2"/>
  <c r="J17" i="2" s="1"/>
  <c r="I18" i="2"/>
  <c r="J18" i="2" s="1"/>
  <c r="I19" i="2"/>
  <c r="J19" i="2" s="1"/>
  <c r="K19" i="2" s="1"/>
  <c r="N19" i="2" s="1"/>
  <c r="I20" i="2"/>
  <c r="J20" i="2" s="1"/>
  <c r="I26" i="2"/>
  <c r="J26" i="2" s="1"/>
  <c r="I27" i="2"/>
  <c r="J27" i="2" s="1"/>
  <c r="K27" i="2" s="1"/>
  <c r="I29" i="2"/>
  <c r="J29" i="2" s="1"/>
  <c r="K29" i="2" s="1"/>
  <c r="N29" i="2" s="1"/>
  <c r="I32" i="2"/>
  <c r="J32" i="2" s="1"/>
  <c r="I39" i="2"/>
  <c r="J39" i="2" s="1"/>
  <c r="I58" i="2"/>
  <c r="J58" i="2" s="1"/>
  <c r="K58" i="2" s="1"/>
  <c r="N58" i="2" s="1"/>
  <c r="I59" i="2"/>
  <c r="J59" i="2" s="1"/>
  <c r="K59" i="2" s="1"/>
  <c r="N59" i="2" s="1"/>
  <c r="I61" i="2"/>
  <c r="J61" i="2" s="1"/>
  <c r="I21" i="3"/>
  <c r="J21" i="3" s="1"/>
  <c r="I22" i="3"/>
  <c r="J22" i="3" s="1"/>
  <c r="K22" i="3" s="1"/>
  <c r="I29" i="3"/>
  <c r="J29" i="3" s="1"/>
  <c r="K29" i="3" s="1"/>
  <c r="N29" i="3" s="1"/>
  <c r="I30" i="3"/>
  <c r="J30" i="3" s="1"/>
  <c r="K30" i="3" s="1"/>
  <c r="I37" i="3"/>
  <c r="J37" i="3" s="1"/>
  <c r="K37" i="3" s="1"/>
  <c r="N37" i="3" s="1"/>
  <c r="I38" i="3"/>
  <c r="J38" i="3" s="1"/>
  <c r="K38" i="3" s="1"/>
  <c r="I45" i="3"/>
  <c r="J45" i="3" s="1"/>
  <c r="K45" i="3" s="1"/>
  <c r="N45" i="3" s="1"/>
  <c r="I46" i="3"/>
  <c r="J46" i="3" s="1"/>
  <c r="K46" i="3" s="1"/>
  <c r="I53" i="3"/>
  <c r="J53" i="3" s="1"/>
  <c r="K53" i="3" s="1"/>
  <c r="N53" i="3" s="1"/>
  <c r="I54" i="3"/>
  <c r="J54" i="3" s="1"/>
  <c r="K54" i="3" s="1"/>
  <c r="I65" i="3"/>
  <c r="J65" i="3" s="1"/>
  <c r="K65" i="3" s="1"/>
  <c r="I66" i="3"/>
  <c r="J66" i="3" s="1"/>
  <c r="K66" i="3" s="1"/>
  <c r="I67" i="3"/>
  <c r="J67" i="3" s="1"/>
  <c r="K67" i="3" s="1"/>
  <c r="I23" i="3"/>
  <c r="J23" i="3" s="1"/>
  <c r="I31" i="3"/>
  <c r="J31" i="3" s="1"/>
  <c r="K31" i="3" s="1"/>
  <c r="I40" i="3"/>
  <c r="J40" i="3" s="1"/>
  <c r="K40" i="3" s="1"/>
  <c r="I47" i="3"/>
  <c r="J47" i="3" s="1"/>
  <c r="K47" i="3" s="1"/>
  <c r="I56" i="3"/>
  <c r="J56" i="3" s="1"/>
  <c r="I58" i="3"/>
  <c r="J58" i="3" s="1"/>
  <c r="I60" i="3"/>
  <c r="J60" i="3" s="1"/>
  <c r="K60" i="3" s="1"/>
  <c r="N60" i="3" s="1"/>
  <c r="I63" i="3"/>
  <c r="J63" i="3" s="1"/>
  <c r="I25" i="3"/>
  <c r="J25" i="3" s="1"/>
  <c r="K25" i="3" s="1"/>
  <c r="N25" i="3" s="1"/>
  <c r="I26" i="3"/>
  <c r="J26" i="3" s="1"/>
  <c r="K26" i="3" s="1"/>
  <c r="I33" i="3"/>
  <c r="J33" i="3" s="1"/>
  <c r="I34" i="3"/>
  <c r="J34" i="3" s="1"/>
  <c r="K34" i="3" s="1"/>
  <c r="I41" i="3"/>
  <c r="J41" i="3" s="1"/>
  <c r="K41" i="3" s="1"/>
  <c r="N41" i="3" s="1"/>
  <c r="I42" i="3"/>
  <c r="J42" i="3" s="1"/>
  <c r="K42" i="3" s="1"/>
  <c r="I49" i="3"/>
  <c r="J49" i="3" s="1"/>
  <c r="I50" i="3"/>
  <c r="J50" i="3" s="1"/>
  <c r="K50" i="3" s="1"/>
  <c r="I24" i="3"/>
  <c r="J24" i="3" s="1"/>
  <c r="K24" i="3" s="1"/>
  <c r="I32" i="3"/>
  <c r="J32" i="3" s="1"/>
  <c r="K32" i="3" s="1"/>
  <c r="I39" i="3"/>
  <c r="J39" i="3" s="1"/>
  <c r="K39" i="3" s="1"/>
  <c r="N39" i="3" s="1"/>
  <c r="I48" i="3"/>
  <c r="J48" i="3" s="1"/>
  <c r="K48" i="3" s="1"/>
  <c r="I55" i="3"/>
  <c r="J55" i="3" s="1"/>
  <c r="K55" i="3" s="1"/>
  <c r="N55" i="3" s="1"/>
  <c r="I57" i="3"/>
  <c r="J57" i="3" s="1"/>
  <c r="K57" i="3" s="1"/>
  <c r="I59" i="3"/>
  <c r="J59" i="3" s="1"/>
  <c r="I61" i="3"/>
  <c r="J61" i="3" s="1"/>
  <c r="K61" i="3" s="1"/>
  <c r="I62" i="3"/>
  <c r="J62" i="3" s="1"/>
  <c r="K62" i="3" s="1"/>
  <c r="N62" i="3" s="1"/>
  <c r="I64" i="3"/>
  <c r="J64" i="3" s="1"/>
  <c r="K64" i="3" s="1"/>
  <c r="N64" i="3" s="1"/>
  <c r="I4" i="3"/>
  <c r="J4" i="3" s="1"/>
  <c r="K4" i="3" s="1"/>
  <c r="I5" i="3"/>
  <c r="J5" i="3" s="1"/>
  <c r="K5" i="3" s="1"/>
  <c r="I6" i="3"/>
  <c r="J6" i="3" s="1"/>
  <c r="K6" i="3" s="1"/>
  <c r="N6" i="3" s="1"/>
  <c r="I7" i="3"/>
  <c r="J7" i="3" s="1"/>
  <c r="K7" i="3" s="1"/>
  <c r="N7" i="3" s="1"/>
  <c r="I8" i="3"/>
  <c r="J8" i="3" s="1"/>
  <c r="K8" i="3" s="1"/>
  <c r="I9" i="3"/>
  <c r="J9" i="3" s="1"/>
  <c r="K9" i="3" s="1"/>
  <c r="I10" i="3"/>
  <c r="J10" i="3" s="1"/>
  <c r="K10" i="3" s="1"/>
  <c r="N10" i="3" s="1"/>
  <c r="I11" i="3"/>
  <c r="J11" i="3" s="1"/>
  <c r="K11" i="3" s="1"/>
  <c r="N11" i="3" s="1"/>
  <c r="I12" i="3"/>
  <c r="J12" i="3" s="1"/>
  <c r="K12" i="3" s="1"/>
  <c r="I13" i="3"/>
  <c r="J13" i="3" s="1"/>
  <c r="K13" i="3" s="1"/>
  <c r="I14" i="3"/>
  <c r="J14" i="3" s="1"/>
  <c r="K14" i="3" s="1"/>
  <c r="N14" i="3" s="1"/>
  <c r="I15" i="3"/>
  <c r="J15" i="3" s="1"/>
  <c r="K15" i="3" s="1"/>
  <c r="N15" i="3" s="1"/>
  <c r="I16" i="3"/>
  <c r="J16" i="3" s="1"/>
  <c r="K16" i="3" s="1"/>
  <c r="I17" i="3"/>
  <c r="J17" i="3" s="1"/>
  <c r="K17" i="3" s="1"/>
  <c r="I18" i="3"/>
  <c r="J18" i="3" s="1"/>
  <c r="K18" i="3" s="1"/>
  <c r="N18" i="3" s="1"/>
  <c r="I19" i="3"/>
  <c r="J19" i="3" s="1"/>
  <c r="K19" i="3" s="1"/>
  <c r="N19" i="3" s="1"/>
  <c r="I20" i="3"/>
  <c r="J20" i="3" s="1"/>
  <c r="K20" i="3" s="1"/>
  <c r="I27" i="3"/>
  <c r="J27" i="3" s="1"/>
  <c r="I28" i="3"/>
  <c r="J28" i="3" s="1"/>
  <c r="K28" i="3" s="1"/>
  <c r="I35" i="3"/>
  <c r="J35" i="3" s="1"/>
  <c r="K35" i="3" s="1"/>
  <c r="N35" i="3" s="1"/>
  <c r="I36" i="3"/>
  <c r="J36" i="3" s="1"/>
  <c r="K36" i="3" s="1"/>
  <c r="I43" i="3"/>
  <c r="J43" i="3" s="1"/>
  <c r="K43" i="3" s="1"/>
  <c r="I44" i="3"/>
  <c r="J44" i="3" s="1"/>
  <c r="K44" i="3" s="1"/>
  <c r="I51" i="3"/>
  <c r="J51" i="3" s="1"/>
  <c r="K51" i="3" s="1"/>
  <c r="N51" i="3" s="1"/>
  <c r="I52" i="3"/>
  <c r="J52" i="3" s="1"/>
  <c r="K52" i="3" s="1"/>
  <c r="K27" i="3"/>
  <c r="K21" i="3"/>
  <c r="N21" i="3" s="1"/>
  <c r="K23" i="3"/>
  <c r="N23" i="3" s="1"/>
  <c r="N28" i="3"/>
  <c r="N42" i="3"/>
  <c r="N54" i="3"/>
  <c r="K56" i="3"/>
  <c r="N56" i="3" s="1"/>
  <c r="K58" i="3"/>
  <c r="N58" i="3" s="1"/>
  <c r="K63" i="3"/>
  <c r="J48" i="1"/>
  <c r="K48" i="1" s="1"/>
  <c r="L48" i="1" s="1"/>
  <c r="J19" i="1"/>
  <c r="K19" i="1" s="1"/>
  <c r="L19" i="1" s="1"/>
  <c r="J21" i="1"/>
  <c r="K21" i="1" s="1"/>
  <c r="L21" i="1" s="1"/>
  <c r="J27" i="1"/>
  <c r="K27" i="1" s="1"/>
  <c r="L27" i="1" s="1"/>
  <c r="J29" i="1"/>
  <c r="K29" i="1" s="1"/>
  <c r="L29" i="1" s="1"/>
  <c r="J35" i="1"/>
  <c r="K35" i="1" s="1"/>
  <c r="L35" i="1" s="1"/>
  <c r="J37" i="1"/>
  <c r="K37" i="1" s="1"/>
  <c r="L37" i="1" s="1"/>
  <c r="J43" i="1"/>
  <c r="K43" i="1" s="1"/>
  <c r="L43" i="1" s="1"/>
  <c r="J45" i="1"/>
  <c r="K45" i="1" s="1"/>
  <c r="L45" i="1" s="1"/>
  <c r="J18" i="1"/>
  <c r="K18" i="1" s="1"/>
  <c r="L18" i="1" s="1"/>
  <c r="J20" i="1"/>
  <c r="K20" i="1" s="1"/>
  <c r="L20" i="1" s="1"/>
  <c r="J34" i="1"/>
  <c r="K34" i="1" s="1"/>
  <c r="L34" i="1" s="1"/>
  <c r="J36" i="1"/>
  <c r="K36" i="1" s="1"/>
  <c r="L36" i="1" s="1"/>
  <c r="J50" i="1"/>
  <c r="K50" i="1" s="1"/>
  <c r="L50" i="1" s="1"/>
  <c r="J52" i="1"/>
  <c r="K52" i="1" s="1"/>
  <c r="L52" i="1" s="1"/>
  <c r="AD15" i="1"/>
  <c r="AE15" i="1" s="1"/>
  <c r="AD17" i="1"/>
  <c r="AE17" i="1" s="1"/>
  <c r="AF17" i="1" s="1"/>
  <c r="AI17" i="1" s="1"/>
  <c r="AD18" i="1"/>
  <c r="AE18" i="1" s="1"/>
  <c r="AF18" i="1" s="1"/>
  <c r="AD19" i="1"/>
  <c r="AE19" i="1" s="1"/>
  <c r="AF19" i="1" s="1"/>
  <c r="AD23" i="1"/>
  <c r="AE23" i="1" s="1"/>
  <c r="AF23" i="1" s="1"/>
  <c r="AD27" i="1"/>
  <c r="AE27" i="1" s="1"/>
  <c r="AD31" i="1"/>
  <c r="AE31" i="1" s="1"/>
  <c r="AF31" i="1" s="1"/>
  <c r="AD47" i="1"/>
  <c r="AE47" i="1" s="1"/>
  <c r="AF47" i="1" s="1"/>
  <c r="J12" i="1"/>
  <c r="K12" i="1" s="1"/>
  <c r="L12" i="1" s="1"/>
  <c r="J26" i="1"/>
  <c r="K26" i="1" s="1"/>
  <c r="L26" i="1" s="1"/>
  <c r="J28" i="1"/>
  <c r="K28" i="1" s="1"/>
  <c r="L28" i="1" s="1"/>
  <c r="J42" i="1"/>
  <c r="K42" i="1" s="1"/>
  <c r="L42" i="1" s="1"/>
  <c r="J44" i="1"/>
  <c r="K44" i="1" s="1"/>
  <c r="L44" i="1" s="1"/>
  <c r="J17" i="1"/>
  <c r="K17" i="1" s="1"/>
  <c r="L17" i="1" s="1"/>
  <c r="J25" i="1"/>
  <c r="K25" i="1" s="1"/>
  <c r="L25" i="1" s="1"/>
  <c r="J33" i="1"/>
  <c r="K33" i="1" s="1"/>
  <c r="L33" i="1" s="1"/>
  <c r="J41" i="1"/>
  <c r="K41" i="1" s="1"/>
  <c r="L41" i="1" s="1"/>
  <c r="J49" i="1"/>
  <c r="K49" i="1" s="1"/>
  <c r="L49" i="1" s="1"/>
  <c r="J4" i="1"/>
  <c r="K4" i="1" s="1"/>
  <c r="L4" i="1" s="1"/>
  <c r="J5" i="1"/>
  <c r="K5" i="1" s="1"/>
  <c r="L5" i="1" s="1"/>
  <c r="J6" i="1"/>
  <c r="K6" i="1" s="1"/>
  <c r="L6" i="1" s="1"/>
  <c r="J7" i="1"/>
  <c r="K7" i="1" s="1"/>
  <c r="L7" i="1" s="1"/>
  <c r="J8" i="1"/>
  <c r="K8" i="1" s="1"/>
  <c r="L8" i="1" s="1"/>
  <c r="J9" i="1"/>
  <c r="K9" i="1" s="1"/>
  <c r="L9" i="1" s="1"/>
  <c r="J10" i="1"/>
  <c r="K10" i="1" s="1"/>
  <c r="L10" i="1" s="1"/>
  <c r="J15" i="1"/>
  <c r="K15" i="1" s="1"/>
  <c r="L15" i="1" s="1"/>
  <c r="J23" i="1"/>
  <c r="K23" i="1" s="1"/>
  <c r="L23" i="1" s="1"/>
  <c r="J31" i="1"/>
  <c r="K31" i="1" s="1"/>
  <c r="L31" i="1" s="1"/>
  <c r="J39" i="1"/>
  <c r="K39" i="1" s="1"/>
  <c r="L39" i="1" s="1"/>
  <c r="J47" i="1"/>
  <c r="K47" i="1" s="1"/>
  <c r="L47" i="1" s="1"/>
  <c r="O33" i="1"/>
  <c r="O49" i="1"/>
  <c r="O11" i="1"/>
  <c r="O19" i="1"/>
  <c r="O35" i="1"/>
  <c r="O43" i="1"/>
  <c r="O51" i="1"/>
  <c r="O4" i="1"/>
  <c r="O7" i="1"/>
  <c r="O8" i="1"/>
  <c r="O13" i="1"/>
  <c r="O21" i="1"/>
  <c r="O29" i="1"/>
  <c r="O37" i="1"/>
  <c r="O45" i="1"/>
  <c r="O23" i="1"/>
  <c r="O31" i="1"/>
  <c r="O16" i="1"/>
  <c r="O22" i="1"/>
  <c r="O48" i="1"/>
  <c r="O50" i="1"/>
  <c r="O28" i="1"/>
  <c r="O52" i="1"/>
  <c r="O18" i="1"/>
  <c r="O24" i="1"/>
  <c r="O32" i="1"/>
  <c r="O38" i="1"/>
  <c r="O40" i="1"/>
  <c r="O14" i="1"/>
  <c r="O20" i="1"/>
  <c r="O30" i="1"/>
  <c r="O42" i="1"/>
  <c r="O44" i="1"/>
  <c r="O46" i="1"/>
  <c r="J3" i="1"/>
  <c r="K3" i="1" s="1"/>
  <c r="L3" i="1" s="1"/>
  <c r="AD48" i="1"/>
  <c r="AE48" i="1" s="1"/>
  <c r="AD49" i="1"/>
  <c r="AE49" i="1" s="1"/>
  <c r="AF49" i="1" s="1"/>
  <c r="AD50" i="1"/>
  <c r="AE50" i="1" s="1"/>
  <c r="AF50" i="1" s="1"/>
  <c r="AI50" i="1" s="1"/>
  <c r="AD51" i="1"/>
  <c r="AE51" i="1" s="1"/>
  <c r="AD4" i="1"/>
  <c r="AE4" i="1" s="1"/>
  <c r="AD8" i="1"/>
  <c r="AE8" i="1" s="1"/>
  <c r="AF8" i="1" s="1"/>
  <c r="AI8" i="1" s="1"/>
  <c r="AD12" i="1"/>
  <c r="AE12" i="1" s="1"/>
  <c r="AD36" i="1"/>
  <c r="AE36" i="1" s="1"/>
  <c r="AF36" i="1" s="1"/>
  <c r="AI36" i="1" s="1"/>
  <c r="AD40" i="1"/>
  <c r="AE40" i="1" s="1"/>
  <c r="AF40" i="1" s="1"/>
  <c r="AI40" i="1" s="1"/>
  <c r="AD44" i="1"/>
  <c r="AE44" i="1" s="1"/>
  <c r="AF44" i="1" s="1"/>
  <c r="AI44" i="1" s="1"/>
  <c r="AD3" i="1"/>
  <c r="AE3" i="1" s="1"/>
  <c r="AF3" i="1" s="1"/>
  <c r="AD7" i="1"/>
  <c r="AD11" i="1"/>
  <c r="AD20" i="1"/>
  <c r="AD24" i="1"/>
  <c r="AD28" i="1"/>
  <c r="AD33" i="1"/>
  <c r="AD34" i="1"/>
  <c r="AD35" i="1"/>
  <c r="AD39" i="1"/>
  <c r="AD43" i="1"/>
  <c r="I36" i="2"/>
  <c r="J36" i="2" s="1"/>
  <c r="K36" i="2" s="1"/>
  <c r="N36" i="2" s="1"/>
  <c r="I52" i="2"/>
  <c r="J52" i="2" s="1"/>
  <c r="I60" i="2"/>
  <c r="J60" i="2" s="1"/>
  <c r="I30" i="2"/>
  <c r="J30" i="2" s="1"/>
  <c r="K30" i="2" s="1"/>
  <c r="N30" i="2" s="1"/>
  <c r="I38" i="2"/>
  <c r="J38" i="2" s="1"/>
  <c r="K38" i="2" s="1"/>
  <c r="N38" i="2" s="1"/>
  <c r="I46" i="2"/>
  <c r="J46" i="2" s="1"/>
  <c r="I54" i="2"/>
  <c r="J54" i="2" s="1"/>
  <c r="I62" i="2"/>
  <c r="J62" i="2" s="1"/>
  <c r="K62" i="2" s="1"/>
  <c r="N62" i="2" s="1"/>
  <c r="I28" i="2"/>
  <c r="J28" i="2" s="1"/>
  <c r="K28" i="2" s="1"/>
  <c r="N28" i="2" s="1"/>
  <c r="I44" i="2"/>
  <c r="J44" i="2" s="1"/>
  <c r="I21" i="2"/>
  <c r="J21" i="2" s="1"/>
  <c r="I22" i="2"/>
  <c r="J22" i="2" s="1"/>
  <c r="K22" i="2" s="1"/>
  <c r="I23" i="2"/>
  <c r="J23" i="2" s="1"/>
  <c r="N23" i="2" s="1"/>
  <c r="I24" i="2"/>
  <c r="J24" i="2" s="1"/>
  <c r="K24" i="2" s="1"/>
  <c r="N24" i="2" s="1"/>
  <c r="I25" i="2"/>
  <c r="J25" i="2" s="1"/>
  <c r="I48" i="2"/>
  <c r="J48" i="2" s="1"/>
  <c r="K48" i="2" s="1"/>
  <c r="N48" i="2" s="1"/>
  <c r="I56" i="2"/>
  <c r="J56" i="2" s="1"/>
  <c r="K56" i="2" s="1"/>
  <c r="N56" i="2" s="1"/>
  <c r="I64" i="2"/>
  <c r="J64" i="2" s="1"/>
  <c r="K64" i="2" s="1"/>
  <c r="N64" i="2" s="1"/>
  <c r="K9" i="2"/>
  <c r="N9" i="2" s="1"/>
  <c r="K14" i="2"/>
  <c r="K17" i="2"/>
  <c r="N17" i="2"/>
  <c r="K20" i="2"/>
  <c r="N20" i="2" s="1"/>
  <c r="K50" i="2"/>
  <c r="N50" i="2" s="1"/>
  <c r="K5" i="2"/>
  <c r="N5" i="2" s="1"/>
  <c r="K8" i="2"/>
  <c r="N8" i="2" s="1"/>
  <c r="K12" i="2"/>
  <c r="N12" i="2" s="1"/>
  <c r="K18" i="2"/>
  <c r="N18" i="2" s="1"/>
  <c r="K34" i="2"/>
  <c r="N34" i="2" s="1"/>
  <c r="K10" i="2"/>
  <c r="N10" i="2" s="1"/>
  <c r="K13" i="2"/>
  <c r="N13" i="2" s="1"/>
  <c r="K16" i="2"/>
  <c r="N16" i="2" s="1"/>
  <c r="K26" i="2"/>
  <c r="N26" i="2" s="1"/>
  <c r="K42" i="2"/>
  <c r="N42" i="2" s="1"/>
  <c r="K66" i="2"/>
  <c r="N66" i="2" s="1"/>
  <c r="K44" i="2"/>
  <c r="N44" i="2" s="1"/>
  <c r="K52" i="2"/>
  <c r="N52" i="2" s="1"/>
  <c r="K60" i="2"/>
  <c r="N60" i="2" s="1"/>
  <c r="K46" i="2"/>
  <c r="N46" i="2" s="1"/>
  <c r="K54" i="2"/>
  <c r="N54" i="2" s="1"/>
  <c r="K21" i="2"/>
  <c r="N21" i="2"/>
  <c r="K23" i="2"/>
  <c r="K25" i="2"/>
  <c r="N25" i="2" s="1"/>
  <c r="K32" i="2"/>
  <c r="N32" i="2" s="1"/>
  <c r="K40" i="2"/>
  <c r="N40" i="2" s="1"/>
  <c r="K39" i="2"/>
  <c r="N39" i="2" s="1"/>
  <c r="K63" i="2"/>
  <c r="N63" i="2" s="1"/>
  <c r="N27" i="2"/>
  <c r="N41" i="2"/>
  <c r="N55" i="2"/>
  <c r="K31" i="2"/>
  <c r="N31" i="2" s="1"/>
  <c r="K33" i="2"/>
  <c r="N33" i="2" s="1"/>
  <c r="K35" i="2"/>
  <c r="N35" i="2" s="1"/>
  <c r="K37" i="2"/>
  <c r="N37" i="2" s="1"/>
  <c r="K43" i="2"/>
  <c r="N43" i="2" s="1"/>
  <c r="K49" i="2"/>
  <c r="N49" i="2" s="1"/>
  <c r="K51" i="2"/>
  <c r="N51" i="2" s="1"/>
  <c r="K53" i="2"/>
  <c r="N53" i="2" s="1"/>
  <c r="K57" i="2"/>
  <c r="N57" i="2" s="1"/>
  <c r="K61" i="2"/>
  <c r="N61" i="2" s="1"/>
  <c r="K65" i="2"/>
  <c r="N65" i="2" s="1"/>
  <c r="K67" i="2"/>
  <c r="N67" i="2" s="1"/>
  <c r="K4" i="2"/>
  <c r="N4" i="2" s="1"/>
  <c r="AD5" i="1"/>
  <c r="AD6" i="1"/>
  <c r="AD21" i="1"/>
  <c r="AD22" i="1"/>
  <c r="AD37" i="1"/>
  <c r="AD38" i="1"/>
  <c r="AD52" i="1"/>
  <c r="AD9" i="1"/>
  <c r="AD10" i="1"/>
  <c r="AD25" i="1"/>
  <c r="AD26" i="1"/>
  <c r="AD41" i="1"/>
  <c r="AD42" i="1"/>
  <c r="AD13" i="1"/>
  <c r="AD14" i="1"/>
  <c r="AD16" i="1"/>
  <c r="AD29" i="1"/>
  <c r="AD30" i="1"/>
  <c r="AD32" i="1"/>
  <c r="AD45" i="1"/>
  <c r="AD46" i="1"/>
  <c r="N11" i="2" l="1"/>
  <c r="N24" i="3"/>
  <c r="N67" i="3"/>
  <c r="N22" i="3"/>
  <c r="N38" i="3"/>
  <c r="N44" i="3"/>
  <c r="N30" i="3"/>
  <c r="N26" i="3"/>
  <c r="N65" i="3"/>
  <c r="N32" i="3"/>
  <c r="N66" i="3"/>
  <c r="N46" i="3"/>
  <c r="N12" i="3"/>
  <c r="N8" i="3"/>
  <c r="K49" i="3"/>
  <c r="N49" i="3" s="1"/>
  <c r="N57" i="3"/>
  <c r="N31" i="3"/>
  <c r="N16" i="3"/>
  <c r="N4" i="3"/>
  <c r="N52" i="3"/>
  <c r="N20" i="3"/>
  <c r="K59" i="3"/>
  <c r="N59" i="3" s="1"/>
  <c r="N36" i="3"/>
  <c r="K33" i="3"/>
  <c r="N33" i="3" s="1"/>
  <c r="N43" i="3"/>
  <c r="N27" i="3"/>
  <c r="N61" i="3"/>
  <c r="N63" i="3"/>
  <c r="N47" i="3"/>
  <c r="N50" i="3"/>
  <c r="N34" i="3"/>
  <c r="N17" i="3"/>
  <c r="N13" i="3"/>
  <c r="N9" i="3"/>
  <c r="N5" i="3"/>
  <c r="N48" i="3"/>
  <c r="N40" i="3"/>
  <c r="O12" i="1"/>
  <c r="O27" i="1"/>
  <c r="O47" i="1"/>
  <c r="O15" i="1"/>
  <c r="O3" i="1"/>
  <c r="O26" i="1"/>
  <c r="O34" i="1"/>
  <c r="O39" i="1"/>
  <c r="O25" i="1"/>
  <c r="O36" i="1"/>
  <c r="O17" i="1"/>
  <c r="O10" i="1"/>
  <c r="O9" i="1"/>
  <c r="O5" i="1"/>
  <c r="O6" i="1"/>
  <c r="O41" i="1"/>
  <c r="AE29" i="1"/>
  <c r="AF29" i="1" s="1"/>
  <c r="AE42" i="1"/>
  <c r="AF42" i="1" s="1"/>
  <c r="AE10" i="1"/>
  <c r="AF10" i="1" s="1"/>
  <c r="AE37" i="1"/>
  <c r="AF37" i="1" s="1"/>
  <c r="AE5" i="1"/>
  <c r="AF5" i="1" s="1"/>
  <c r="AE39" i="1"/>
  <c r="AF48" i="1"/>
  <c r="AI48" i="1" s="1"/>
  <c r="AE20" i="1"/>
  <c r="AE45" i="1"/>
  <c r="AE16" i="1"/>
  <c r="AE41" i="1"/>
  <c r="AE9" i="1"/>
  <c r="AE22" i="1"/>
  <c r="AI23" i="1"/>
  <c r="AE35" i="1"/>
  <c r="AF35" i="1" s="1"/>
  <c r="AI49" i="1"/>
  <c r="AE11" i="1"/>
  <c r="AF11" i="1" s="1"/>
  <c r="AF12" i="1"/>
  <c r="AI12" i="1" s="1"/>
  <c r="AE46" i="1"/>
  <c r="AE32" i="1"/>
  <c r="AE14" i="1"/>
  <c r="AE26" i="1"/>
  <c r="AE52" i="1"/>
  <c r="AE21" i="1"/>
  <c r="AI19" i="1"/>
  <c r="AE34" i="1"/>
  <c r="AE28" i="1"/>
  <c r="AF28" i="1" s="1"/>
  <c r="AE7" i="1"/>
  <c r="AF7" i="1" s="1"/>
  <c r="AF4" i="1"/>
  <c r="AI4" i="1" s="1"/>
  <c r="AE30" i="1"/>
  <c r="AF30" i="1" s="1"/>
  <c r="AE13" i="1"/>
  <c r="AF13" i="1" s="1"/>
  <c r="AE25" i="1"/>
  <c r="AF25" i="1" s="1"/>
  <c r="AE38" i="1"/>
  <c r="AF38" i="1" s="1"/>
  <c r="AE6" i="1"/>
  <c r="AF6" i="1" s="1"/>
  <c r="AI47" i="1"/>
  <c r="AE43" i="1"/>
  <c r="AE33" i="1"/>
  <c r="AI18" i="1"/>
  <c r="AF27" i="1"/>
  <c r="AI27" i="1" s="1"/>
  <c r="AF51" i="1"/>
  <c r="AI51" i="1" s="1"/>
  <c r="AE24" i="1"/>
  <c r="AF24" i="1" s="1"/>
  <c r="AI3" i="1"/>
  <c r="AI31" i="1"/>
  <c r="AF15" i="1"/>
  <c r="AI15" i="1" s="1"/>
  <c r="N22" i="2"/>
  <c r="AF33" i="1" l="1"/>
  <c r="AI33" i="1" s="1"/>
  <c r="AI6" i="1"/>
  <c r="AI25" i="1"/>
  <c r="AI30" i="1"/>
  <c r="AI7" i="1"/>
  <c r="AF52" i="1"/>
  <c r="AI52" i="1" s="1"/>
  <c r="AF14" i="1"/>
  <c r="AI14" i="1" s="1"/>
  <c r="AF46" i="1"/>
  <c r="AI46" i="1" s="1"/>
  <c r="AF9" i="1"/>
  <c r="AI9" i="1" s="1"/>
  <c r="AF16" i="1"/>
  <c r="AI16" i="1" s="1"/>
  <c r="AF20" i="1"/>
  <c r="AI20" i="1" s="1"/>
  <c r="AF39" i="1"/>
  <c r="AI39" i="1" s="1"/>
  <c r="AI37" i="1"/>
  <c r="AI42" i="1"/>
  <c r="AI24" i="1"/>
  <c r="AF43" i="1"/>
  <c r="AI43" i="1" s="1"/>
  <c r="AI38" i="1"/>
  <c r="AI13" i="1"/>
  <c r="AI28" i="1"/>
  <c r="AF34" i="1"/>
  <c r="AI34" i="1" s="1"/>
  <c r="AF21" i="1"/>
  <c r="AI21" i="1" s="1"/>
  <c r="AF26" i="1"/>
  <c r="AI26" i="1" s="1"/>
  <c r="AF32" i="1"/>
  <c r="AI32" i="1" s="1"/>
  <c r="AI11" i="1"/>
  <c r="AI35" i="1"/>
  <c r="AF22" i="1"/>
  <c r="AI22" i="1" s="1"/>
  <c r="AF41" i="1"/>
  <c r="AI41" i="1" s="1"/>
  <c r="AF45" i="1"/>
  <c r="AI45" i="1" s="1"/>
  <c r="AI5" i="1"/>
  <c r="AI10" i="1"/>
  <c r="AI29" i="1"/>
</calcChain>
</file>

<file path=xl/sharedStrings.xml><?xml version="1.0" encoding="utf-8"?>
<sst xmlns="http://schemas.openxmlformats.org/spreadsheetml/2006/main" count="227" uniqueCount="20">
  <si>
    <t>Case</t>
  </si>
  <si>
    <t>Brins</t>
  </si>
  <si>
    <t>Mouvement</t>
  </si>
  <si>
    <t>Face</t>
  </si>
  <si>
    <t>P</t>
  </si>
  <si>
    <t>Q</t>
  </si>
  <si>
    <t>Sorties</t>
  </si>
  <si>
    <t>Entrées</t>
  </si>
  <si>
    <t>Delta</t>
  </si>
  <si>
    <t>Écart</t>
  </si>
  <si>
    <t>Formule sorties</t>
  </si>
  <si>
    <t>Formule entrées</t>
  </si>
  <si>
    <t xml:space="preserve"># 3082-3 : 97 STRANDS </t>
  </si>
  <si>
    <t>EIGHT POINTS</t>
  </si>
  <si>
    <t>Base Max</t>
  </si>
  <si>
    <t>brins</t>
  </si>
  <si>
    <t>case</t>
  </si>
  <si>
    <t># 3082-2 : 82 brins</t>
  </si>
  <si>
    <t># 3082-2 : 78 brins</t>
  </si>
  <si>
    <t># 3082-3 : 97 brins Rose des 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</si>
</sst>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name val="Wingdings 3"/>
      <family val="1"/>
      <charset val="2"/>
    </font>
    <font>
      <b/>
      <sz val="11"/>
      <color rgb="FFFF0000"/>
      <name val="Arial"/>
      <family val="2"/>
    </font>
    <font>
      <b/>
      <sz val="11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Wingdings 3"/>
      <family val="1"/>
      <charset val="2"/>
    </font>
    <font>
      <b/>
      <sz val="9"/>
      <color rgb="FF000000"/>
      <name val="Wingdings 3"/>
      <family val="1"/>
      <charset val="2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Wingdings 3"/>
      <family val="1"/>
      <charset val="2"/>
    </font>
    <font>
      <b/>
      <sz val="8"/>
      <color rgb="FF000000"/>
      <name val="Wingdings 3"/>
      <family val="1"/>
      <charset val="2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AF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0" fillId="0" borderId="0" xfId="0"/>
    <xf numFmtId="0" fontId="7" fillId="9" borderId="4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/>
    <xf numFmtId="0" fontId="17" fillId="0" borderId="12" xfId="0" applyFont="1" applyBorder="1"/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7" fillId="12" borderId="0" xfId="0" applyFont="1" applyFill="1" applyBorder="1" applyAlignment="1">
      <alignment horizontal="center" wrapText="1"/>
    </xf>
    <xf numFmtId="0" fontId="17" fillId="12" borderId="1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6" fillId="0" borderId="9" xfId="0" applyFont="1" applyBorder="1" applyAlignment="1">
      <alignment vertical="center" wrapText="1"/>
    </xf>
    <xf numFmtId="0" fontId="1" fillId="0" borderId="0" xfId="0" applyFont="1"/>
    <xf numFmtId="0" fontId="6" fillId="0" borderId="4" xfId="0" applyFont="1" applyBorder="1" applyAlignment="1">
      <alignment vertical="center" wrapText="1"/>
    </xf>
    <xf numFmtId="0" fontId="0" fillId="0" borderId="6" xfId="0" applyBorder="1"/>
    <xf numFmtId="0" fontId="0" fillId="0" borderId="5" xfId="0" applyBorder="1"/>
    <xf numFmtId="0" fontId="6" fillId="0" borderId="10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0" xfId="0" applyFill="1" applyBorder="1"/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10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0" fillId="13" borderId="0" xfId="0" applyFill="1"/>
    <xf numFmtId="0" fontId="13" fillId="3" borderId="4" xfId="0" applyFont="1" applyFill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textRotation="90" wrapText="1"/>
    </xf>
    <xf numFmtId="0" fontId="7" fillId="9" borderId="5" xfId="0" applyFont="1" applyFill="1" applyBorder="1" applyAlignment="1">
      <alignment horizontal="center" vertical="center" textRotation="90" wrapText="1"/>
    </xf>
    <xf numFmtId="0" fontId="7" fillId="9" borderId="9" xfId="0" applyFont="1" applyFill="1" applyBorder="1" applyAlignment="1">
      <alignment horizontal="center" vertical="center" textRotation="90" wrapText="1"/>
    </xf>
    <xf numFmtId="0" fontId="0" fillId="0" borderId="2" xfId="0" applyBorder="1" applyAlignment="1">
      <alignment textRotation="90"/>
    </xf>
    <xf numFmtId="0" fontId="0" fillId="0" borderId="3" xfId="0" applyBorder="1" applyAlignment="1">
      <alignment textRotation="90"/>
    </xf>
    <xf numFmtId="0" fontId="6" fillId="0" borderId="1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"/>
  <sheetViews>
    <sheetView tabSelected="1" zoomScale="85" zoomScaleNormal="85" workbookViewId="0">
      <selection activeCell="W2" sqref="W2:Y2"/>
    </sheetView>
  </sheetViews>
  <sheetFormatPr baseColWidth="10" defaultRowHeight="15" x14ac:dyDescent="0.25"/>
  <cols>
    <col min="1" max="1" width="6.28515625" style="13" bestFit="1" customWidth="1"/>
    <col min="2" max="2" width="6" style="13" bestFit="1" customWidth="1"/>
    <col min="3" max="3" width="0" style="13" hidden="1"/>
    <col min="4" max="4" width="4.5703125" style="12" bestFit="1" customWidth="1"/>
    <col min="5" max="5" width="3.5703125" style="12" bestFit="1" customWidth="1"/>
    <col min="6" max="6" width="4.5703125" style="12" bestFit="1" customWidth="1"/>
    <col min="7" max="7" width="10.42578125" style="12" hidden="1" customWidth="1"/>
    <col min="8" max="15" width="10.5703125" style="12" hidden="1" customWidth="1"/>
    <col min="16" max="16" width="10.42578125" hidden="1" customWidth="1"/>
    <col min="17" max="19" width="0" hidden="1" customWidth="1"/>
    <col min="21" max="21" width="7.140625" bestFit="1" customWidth="1"/>
    <col min="22" max="22" width="7.7109375" bestFit="1" customWidth="1"/>
    <col min="23" max="23" width="4.85546875" bestFit="1" customWidth="1"/>
    <col min="24" max="24" width="3.5703125" bestFit="1" customWidth="1"/>
    <col min="25" max="25" width="4.85546875" bestFit="1" customWidth="1"/>
    <col min="26" max="26" width="11.42578125" style="45"/>
    <col min="31" max="31" width="13" customWidth="1"/>
  </cols>
  <sheetData>
    <row r="1" spans="1:35" ht="15.75" customHeight="1" thickBot="1" x14ac:dyDescent="0.3">
      <c r="A1" s="31" t="s">
        <v>18</v>
      </c>
      <c r="B1" s="31"/>
      <c r="C1" s="31"/>
      <c r="D1" s="31"/>
      <c r="E1" s="31"/>
      <c r="F1" s="31"/>
      <c r="G1" s="22"/>
      <c r="H1" s="29" t="s">
        <v>6</v>
      </c>
      <c r="I1" s="29" t="s">
        <v>7</v>
      </c>
      <c r="J1" s="29" t="s">
        <v>8</v>
      </c>
      <c r="K1" s="29" t="s">
        <v>14</v>
      </c>
      <c r="L1" s="29" t="s">
        <v>9</v>
      </c>
      <c r="M1" s="29" t="s">
        <v>10</v>
      </c>
      <c r="N1" s="29" t="s">
        <v>11</v>
      </c>
      <c r="O1" s="27"/>
      <c r="U1" s="34" t="s">
        <v>17</v>
      </c>
      <c r="V1" s="32"/>
      <c r="W1" s="32"/>
      <c r="X1" s="32"/>
      <c r="Y1" s="33"/>
      <c r="Z1" s="42"/>
      <c r="AB1" s="29" t="s">
        <v>6</v>
      </c>
      <c r="AC1" s="29" t="s">
        <v>7</v>
      </c>
      <c r="AD1" s="29" t="s">
        <v>8</v>
      </c>
      <c r="AE1" s="29" t="s">
        <v>14</v>
      </c>
      <c r="AF1" s="29" t="s">
        <v>9</v>
      </c>
      <c r="AG1" s="29" t="s">
        <v>10</v>
      </c>
      <c r="AH1" s="29" t="s">
        <v>11</v>
      </c>
      <c r="AI1" s="27"/>
    </row>
    <row r="2" spans="1:35" ht="15.75" customHeight="1" thickBot="1" x14ac:dyDescent="0.3">
      <c r="A2" t="s">
        <v>0</v>
      </c>
      <c r="B2" t="s">
        <v>1</v>
      </c>
      <c r="D2" s="31" t="s">
        <v>2</v>
      </c>
      <c r="E2" s="35"/>
      <c r="F2" s="35"/>
      <c r="G2" s="23"/>
      <c r="H2" s="30"/>
      <c r="I2" s="30"/>
      <c r="J2" s="30"/>
      <c r="K2" s="30"/>
      <c r="L2" s="30"/>
      <c r="M2" s="30"/>
      <c r="N2" s="30"/>
      <c r="O2" s="28" t="s">
        <v>1</v>
      </c>
      <c r="U2" s="14" t="s">
        <v>16</v>
      </c>
      <c r="V2" s="15" t="s">
        <v>15</v>
      </c>
      <c r="W2" s="54" t="s">
        <v>2</v>
      </c>
      <c r="X2" s="35"/>
      <c r="Y2" s="35"/>
      <c r="Z2" s="42"/>
      <c r="AB2" s="30"/>
      <c r="AC2" s="30"/>
      <c r="AD2" s="30"/>
      <c r="AE2" s="30"/>
      <c r="AF2" s="30"/>
      <c r="AG2" s="30"/>
      <c r="AH2" s="30"/>
      <c r="AI2" s="28" t="s">
        <v>1</v>
      </c>
    </row>
    <row r="3" spans="1:35" ht="15.75" customHeight="1" thickBot="1" x14ac:dyDescent="0.3">
      <c r="A3" s="4">
        <v>1</v>
      </c>
      <c r="B3" s="23">
        <v>3</v>
      </c>
      <c r="C3" s="23"/>
      <c r="D3" s="23">
        <v>42</v>
      </c>
      <c r="E3" s="1" t="str">
        <f t="shared" ref="E3:E34" si="0">IF(D3/2 = ROUND(D3/2,0),REPT("P",1),REPT("Q",1))</f>
        <v>P</v>
      </c>
      <c r="F3" s="23">
        <v>40</v>
      </c>
      <c r="G3" s="23"/>
      <c r="H3" s="24">
        <f>COUNTIF($D$3:$D$52,B3)</f>
        <v>1</v>
      </c>
      <c r="I3" s="24">
        <f>COUNTIF($F$3:$F$52,B3)</f>
        <v>1</v>
      </c>
      <c r="J3" s="24">
        <f t="shared" ref="J3" si="1">I3-H3</f>
        <v>0</v>
      </c>
      <c r="K3" s="24">
        <f>3-J3</f>
        <v>3</v>
      </c>
      <c r="L3" s="24">
        <f>B3-K3</f>
        <v>0</v>
      </c>
      <c r="M3" s="24">
        <f>COUNTIF($D$3:$D$52,B3)</f>
        <v>1</v>
      </c>
      <c r="N3" s="24">
        <f>COUNTIF($F$3:$F$52,B3)</f>
        <v>1</v>
      </c>
      <c r="O3" s="13">
        <f>+K3+L3</f>
        <v>3</v>
      </c>
      <c r="U3" s="4">
        <v>1</v>
      </c>
      <c r="V3" s="48">
        <v>3</v>
      </c>
      <c r="W3" s="6">
        <v>42</v>
      </c>
      <c r="X3" s="46" t="s">
        <v>4</v>
      </c>
      <c r="Y3" s="6">
        <v>40</v>
      </c>
      <c r="Z3" s="43">
        <v>3</v>
      </c>
      <c r="AB3" s="24">
        <f t="shared" ref="AB3:AB34" si="2">COUNTIF($W$3:$W$52,U3)</f>
        <v>1</v>
      </c>
      <c r="AC3" s="24">
        <f t="shared" ref="AC3:AC34" si="3">COUNTIF($Y$3:$Y$52,U3)</f>
        <v>1</v>
      </c>
      <c r="AD3" s="24">
        <f t="shared" ref="AD3" si="4">AC3-AB3</f>
        <v>0</v>
      </c>
      <c r="AE3" s="24">
        <f>3-AD3</f>
        <v>3</v>
      </c>
      <c r="AF3" s="24">
        <f t="shared" ref="AF3:AF34" si="5">V3-AE3</f>
        <v>0</v>
      </c>
      <c r="AG3" s="24">
        <f t="shared" ref="AG3:AG34" si="6">COUNTIF($W$3:$W$52,U3)</f>
        <v>1</v>
      </c>
      <c r="AH3" s="24">
        <f t="shared" ref="AH3:AH34" si="7">COUNTIF($Y$3:$Y$52,U3)</f>
        <v>1</v>
      </c>
      <c r="AI3">
        <f>+AE3+AF3</f>
        <v>3</v>
      </c>
    </row>
    <row r="4" spans="1:35" ht="15.75" customHeight="1" thickBot="1" x14ac:dyDescent="0.3">
      <c r="A4" s="6">
        <v>2</v>
      </c>
      <c r="B4" s="23">
        <v>1</v>
      </c>
      <c r="C4" s="23"/>
      <c r="D4" s="23">
        <v>39</v>
      </c>
      <c r="E4" s="1" t="str">
        <f t="shared" si="0"/>
        <v>Q</v>
      </c>
      <c r="F4" s="23">
        <v>43</v>
      </c>
      <c r="G4" s="23"/>
      <c r="H4" s="24">
        <f t="shared" ref="H4:H52" si="8">COUNTIF($D$3:$D$52,B4)</f>
        <v>1</v>
      </c>
      <c r="I4" s="24">
        <f t="shared" ref="I4:I52" si="9">COUNTIF($F$3:$F$52,B4)</f>
        <v>1</v>
      </c>
      <c r="J4" s="24">
        <f t="shared" ref="J4:J52" si="10">I4-H4</f>
        <v>0</v>
      </c>
      <c r="K4" s="24">
        <f t="shared" ref="K4:K52" si="11">3-J4</f>
        <v>3</v>
      </c>
      <c r="L4" s="24">
        <f t="shared" ref="L4:L52" si="12">B4-K4</f>
        <v>-2</v>
      </c>
      <c r="M4" s="24">
        <f t="shared" ref="M4:M52" si="13">COUNTIF($D$3:$D$52,B4)</f>
        <v>1</v>
      </c>
      <c r="N4" s="24">
        <f t="shared" ref="N4:N52" si="14">COUNTIF($F$3:$F$52,B4)</f>
        <v>1</v>
      </c>
      <c r="O4" s="13">
        <f t="shared" ref="O4:O52" si="15">+K4+L4</f>
        <v>1</v>
      </c>
      <c r="U4" s="6">
        <v>2</v>
      </c>
      <c r="V4" s="48">
        <v>1</v>
      </c>
      <c r="W4" s="7">
        <v>39</v>
      </c>
      <c r="X4" s="46" t="s">
        <v>5</v>
      </c>
      <c r="Y4" s="7">
        <v>43</v>
      </c>
      <c r="Z4" s="43">
        <v>1</v>
      </c>
      <c r="AA4" s="26"/>
      <c r="AB4" s="24">
        <f t="shared" si="2"/>
        <v>1</v>
      </c>
      <c r="AC4" s="24">
        <f t="shared" si="3"/>
        <v>1</v>
      </c>
      <c r="AD4" s="24">
        <f t="shared" ref="AD4:AD52" si="16">AC4-AB4</f>
        <v>0</v>
      </c>
      <c r="AE4" s="24">
        <f t="shared" ref="AE4:AE52" si="17">3-AD4</f>
        <v>3</v>
      </c>
      <c r="AF4" s="24">
        <f t="shared" si="5"/>
        <v>-2</v>
      </c>
      <c r="AG4" s="24">
        <f t="shared" si="6"/>
        <v>1</v>
      </c>
      <c r="AH4" s="24">
        <f t="shared" si="7"/>
        <v>1</v>
      </c>
      <c r="AI4" s="13">
        <f t="shared" ref="AI4:AI52" si="18">+AE4+AF4</f>
        <v>1</v>
      </c>
    </row>
    <row r="5" spans="1:35" ht="15.75" customHeight="1" thickBot="1" x14ac:dyDescent="0.3">
      <c r="A5" s="7">
        <v>3</v>
      </c>
      <c r="B5" s="23">
        <v>2</v>
      </c>
      <c r="C5" s="23"/>
      <c r="D5" s="23">
        <v>44</v>
      </c>
      <c r="E5" s="1" t="str">
        <f t="shared" si="0"/>
        <v>P</v>
      </c>
      <c r="F5" s="23">
        <v>38</v>
      </c>
      <c r="G5" s="23"/>
      <c r="H5" s="24">
        <f t="shared" si="8"/>
        <v>1</v>
      </c>
      <c r="I5" s="24">
        <f t="shared" si="9"/>
        <v>1</v>
      </c>
      <c r="J5" s="24">
        <f t="shared" si="10"/>
        <v>0</v>
      </c>
      <c r="K5" s="24">
        <f t="shared" si="11"/>
        <v>3</v>
      </c>
      <c r="L5" s="24">
        <f t="shared" si="12"/>
        <v>-1</v>
      </c>
      <c r="M5" s="24">
        <f t="shared" si="13"/>
        <v>1</v>
      </c>
      <c r="N5" s="24">
        <f t="shared" si="14"/>
        <v>1</v>
      </c>
      <c r="O5" s="13">
        <f t="shared" si="15"/>
        <v>2</v>
      </c>
      <c r="U5" s="7">
        <v>3</v>
      </c>
      <c r="V5" s="48">
        <v>2</v>
      </c>
      <c r="W5" s="8">
        <v>44</v>
      </c>
      <c r="X5" s="46" t="s">
        <v>4</v>
      </c>
      <c r="Y5" s="8">
        <v>38</v>
      </c>
      <c r="Z5" s="43">
        <v>2</v>
      </c>
      <c r="AA5" s="26"/>
      <c r="AB5" s="24">
        <f t="shared" si="2"/>
        <v>1</v>
      </c>
      <c r="AC5" s="24">
        <f t="shared" si="3"/>
        <v>1</v>
      </c>
      <c r="AD5" s="24">
        <f t="shared" si="16"/>
        <v>0</v>
      </c>
      <c r="AE5" s="24">
        <f t="shared" si="17"/>
        <v>3</v>
      </c>
      <c r="AF5" s="24">
        <f t="shared" si="5"/>
        <v>-1</v>
      </c>
      <c r="AG5" s="24">
        <f t="shared" si="6"/>
        <v>1</v>
      </c>
      <c r="AH5" s="24">
        <f t="shared" si="7"/>
        <v>1</v>
      </c>
      <c r="AI5" s="13">
        <f t="shared" si="18"/>
        <v>2</v>
      </c>
    </row>
    <row r="6" spans="1:35" ht="15.75" customHeight="1" thickBot="1" x14ac:dyDescent="0.3">
      <c r="A6" s="8">
        <v>4</v>
      </c>
      <c r="B6" s="23">
        <v>1</v>
      </c>
      <c r="C6" s="23"/>
      <c r="D6" s="23">
        <v>37</v>
      </c>
      <c r="E6" s="1" t="str">
        <f t="shared" si="0"/>
        <v>Q</v>
      </c>
      <c r="F6" s="23">
        <v>45</v>
      </c>
      <c r="G6" s="23"/>
      <c r="H6" s="24">
        <f t="shared" si="8"/>
        <v>1</v>
      </c>
      <c r="I6" s="24">
        <f t="shared" si="9"/>
        <v>1</v>
      </c>
      <c r="J6" s="24">
        <f t="shared" si="10"/>
        <v>0</v>
      </c>
      <c r="K6" s="24">
        <f t="shared" si="11"/>
        <v>3</v>
      </c>
      <c r="L6" s="24">
        <f t="shared" si="12"/>
        <v>-2</v>
      </c>
      <c r="M6" s="24">
        <f t="shared" si="13"/>
        <v>1</v>
      </c>
      <c r="N6" s="24">
        <f t="shared" si="14"/>
        <v>1</v>
      </c>
      <c r="O6" s="13">
        <f t="shared" si="15"/>
        <v>1</v>
      </c>
      <c r="U6" s="8">
        <v>4</v>
      </c>
      <c r="V6" s="48">
        <v>1</v>
      </c>
      <c r="W6" s="9">
        <v>37</v>
      </c>
      <c r="X6" s="46" t="s">
        <v>5</v>
      </c>
      <c r="Y6" s="9">
        <v>45</v>
      </c>
      <c r="Z6" s="43">
        <v>1</v>
      </c>
      <c r="AA6" s="26"/>
      <c r="AB6" s="24">
        <f t="shared" si="2"/>
        <v>1</v>
      </c>
      <c r="AC6" s="24">
        <f t="shared" si="3"/>
        <v>1</v>
      </c>
      <c r="AD6" s="24">
        <f t="shared" si="16"/>
        <v>0</v>
      </c>
      <c r="AE6" s="24">
        <f t="shared" si="17"/>
        <v>3</v>
      </c>
      <c r="AF6" s="24">
        <f t="shared" si="5"/>
        <v>-2</v>
      </c>
      <c r="AG6" s="24">
        <f t="shared" si="6"/>
        <v>1</v>
      </c>
      <c r="AH6" s="24">
        <f t="shared" si="7"/>
        <v>1</v>
      </c>
      <c r="AI6" s="13">
        <f t="shared" si="18"/>
        <v>1</v>
      </c>
    </row>
    <row r="7" spans="1:35" ht="15.75" customHeight="1" thickBot="1" x14ac:dyDescent="0.3">
      <c r="A7" s="9">
        <v>5</v>
      </c>
      <c r="B7" s="23">
        <v>2</v>
      </c>
      <c r="C7" s="23"/>
      <c r="D7" s="23">
        <v>46</v>
      </c>
      <c r="E7" s="1" t="str">
        <f t="shared" si="0"/>
        <v>P</v>
      </c>
      <c r="F7" s="23">
        <v>36</v>
      </c>
      <c r="G7" s="10"/>
      <c r="H7" s="24">
        <f t="shared" si="8"/>
        <v>1</v>
      </c>
      <c r="I7" s="24">
        <f t="shared" si="9"/>
        <v>1</v>
      </c>
      <c r="J7" s="24">
        <f t="shared" si="10"/>
        <v>0</v>
      </c>
      <c r="K7" s="24">
        <f t="shared" si="11"/>
        <v>3</v>
      </c>
      <c r="L7" s="24">
        <f t="shared" si="12"/>
        <v>-1</v>
      </c>
      <c r="M7" s="24">
        <f t="shared" si="13"/>
        <v>1</v>
      </c>
      <c r="N7" s="24">
        <f t="shared" si="14"/>
        <v>1</v>
      </c>
      <c r="O7" s="13">
        <f t="shared" si="15"/>
        <v>2</v>
      </c>
      <c r="U7" s="9">
        <v>5</v>
      </c>
      <c r="V7" s="48">
        <v>2</v>
      </c>
      <c r="W7" s="3">
        <v>46</v>
      </c>
      <c r="X7" s="46" t="s">
        <v>4</v>
      </c>
      <c r="Y7" s="3">
        <v>36</v>
      </c>
      <c r="Z7" s="43">
        <v>2</v>
      </c>
      <c r="AA7" s="26"/>
      <c r="AB7" s="24">
        <f t="shared" si="2"/>
        <v>1</v>
      </c>
      <c r="AC7" s="24">
        <f t="shared" si="3"/>
        <v>1</v>
      </c>
      <c r="AD7" s="24">
        <f t="shared" si="16"/>
        <v>0</v>
      </c>
      <c r="AE7" s="24">
        <f t="shared" si="17"/>
        <v>3</v>
      </c>
      <c r="AF7" s="24">
        <f t="shared" si="5"/>
        <v>-1</v>
      </c>
      <c r="AG7" s="24">
        <f t="shared" si="6"/>
        <v>1</v>
      </c>
      <c r="AH7" s="24">
        <f t="shared" si="7"/>
        <v>1</v>
      </c>
      <c r="AI7" s="13">
        <f t="shared" si="18"/>
        <v>2</v>
      </c>
    </row>
    <row r="8" spans="1:35" ht="15.75" customHeight="1" thickBot="1" x14ac:dyDescent="0.3">
      <c r="A8" s="3">
        <v>6</v>
      </c>
      <c r="B8" s="23">
        <v>1</v>
      </c>
      <c r="C8" s="23"/>
      <c r="D8" s="10">
        <v>1</v>
      </c>
      <c r="E8" s="1" t="str">
        <f t="shared" si="0"/>
        <v>Q</v>
      </c>
      <c r="F8" s="10">
        <v>31</v>
      </c>
      <c r="G8" s="23"/>
      <c r="H8" s="24">
        <f t="shared" si="8"/>
        <v>1</v>
      </c>
      <c r="I8" s="24">
        <f t="shared" si="9"/>
        <v>1</v>
      </c>
      <c r="J8" s="24">
        <f t="shared" si="10"/>
        <v>0</v>
      </c>
      <c r="K8" s="24">
        <f t="shared" si="11"/>
        <v>3</v>
      </c>
      <c r="L8" s="24">
        <f t="shared" si="12"/>
        <v>-2</v>
      </c>
      <c r="M8" s="24">
        <f t="shared" si="13"/>
        <v>1</v>
      </c>
      <c r="N8" s="24">
        <f t="shared" si="14"/>
        <v>1</v>
      </c>
      <c r="O8" s="13">
        <f t="shared" si="15"/>
        <v>1</v>
      </c>
      <c r="U8" s="3">
        <v>6</v>
      </c>
      <c r="V8" s="48">
        <v>2</v>
      </c>
      <c r="W8" s="4">
        <v>1</v>
      </c>
      <c r="X8" s="47" t="s">
        <v>5</v>
      </c>
      <c r="Y8" s="4">
        <v>31</v>
      </c>
      <c r="Z8" s="44">
        <v>2</v>
      </c>
      <c r="AA8" s="26"/>
      <c r="AB8" s="24">
        <f t="shared" si="2"/>
        <v>1</v>
      </c>
      <c r="AC8" s="24">
        <f t="shared" si="3"/>
        <v>1</v>
      </c>
      <c r="AD8" s="24">
        <f t="shared" si="16"/>
        <v>0</v>
      </c>
      <c r="AE8" s="24">
        <f t="shared" si="17"/>
        <v>3</v>
      </c>
      <c r="AF8" s="24">
        <f t="shared" si="5"/>
        <v>-1</v>
      </c>
      <c r="AG8" s="24">
        <f t="shared" si="6"/>
        <v>1</v>
      </c>
      <c r="AH8" s="24">
        <f t="shared" si="7"/>
        <v>1</v>
      </c>
      <c r="AI8" s="13">
        <f t="shared" si="18"/>
        <v>2</v>
      </c>
    </row>
    <row r="9" spans="1:35" ht="15.75" customHeight="1" thickBot="1" x14ac:dyDescent="0.3">
      <c r="A9" s="9">
        <v>7</v>
      </c>
      <c r="B9" s="23">
        <v>1</v>
      </c>
      <c r="C9" s="23"/>
      <c r="D9" s="23">
        <v>30</v>
      </c>
      <c r="E9" s="1" t="str">
        <f t="shared" si="0"/>
        <v>P</v>
      </c>
      <c r="F9" s="23">
        <v>2</v>
      </c>
      <c r="G9" s="23"/>
      <c r="H9" s="24">
        <f t="shared" si="8"/>
        <v>1</v>
      </c>
      <c r="I9" s="24">
        <f t="shared" si="9"/>
        <v>1</v>
      </c>
      <c r="J9" s="24">
        <f t="shared" si="10"/>
        <v>0</v>
      </c>
      <c r="K9" s="24">
        <f t="shared" si="11"/>
        <v>3</v>
      </c>
      <c r="L9" s="24">
        <f t="shared" si="12"/>
        <v>-2</v>
      </c>
      <c r="M9" s="24">
        <f t="shared" si="13"/>
        <v>1</v>
      </c>
      <c r="N9" s="24">
        <f t="shared" si="14"/>
        <v>1</v>
      </c>
      <c r="O9" s="13">
        <f t="shared" si="15"/>
        <v>1</v>
      </c>
      <c r="U9" s="9">
        <v>7</v>
      </c>
      <c r="V9" s="48">
        <v>2</v>
      </c>
      <c r="W9" s="6">
        <v>30</v>
      </c>
      <c r="X9" s="47" t="s">
        <v>4</v>
      </c>
      <c r="Y9" s="6">
        <v>2</v>
      </c>
      <c r="Z9" s="44">
        <v>2</v>
      </c>
      <c r="AA9" s="26"/>
      <c r="AB9" s="24">
        <f t="shared" si="2"/>
        <v>1</v>
      </c>
      <c r="AC9" s="24">
        <f t="shared" si="3"/>
        <v>1</v>
      </c>
      <c r="AD9" s="24">
        <f t="shared" si="16"/>
        <v>0</v>
      </c>
      <c r="AE9" s="24">
        <f t="shared" si="17"/>
        <v>3</v>
      </c>
      <c r="AF9" s="24">
        <f t="shared" si="5"/>
        <v>-1</v>
      </c>
      <c r="AG9" s="24">
        <f t="shared" si="6"/>
        <v>1</v>
      </c>
      <c r="AH9" s="24">
        <f t="shared" si="7"/>
        <v>1</v>
      </c>
      <c r="AI9" s="13">
        <f t="shared" si="18"/>
        <v>2</v>
      </c>
    </row>
    <row r="10" spans="1:35" ht="15.75" customHeight="1" thickBot="1" x14ac:dyDescent="0.3">
      <c r="A10" s="8">
        <v>8</v>
      </c>
      <c r="B10" s="23">
        <v>2</v>
      </c>
      <c r="C10" s="23"/>
      <c r="D10" s="23">
        <v>3</v>
      </c>
      <c r="E10" s="1" t="str">
        <f t="shared" si="0"/>
        <v>Q</v>
      </c>
      <c r="F10" s="23">
        <v>29</v>
      </c>
      <c r="G10" s="23"/>
      <c r="H10" s="24">
        <f t="shared" si="8"/>
        <v>1</v>
      </c>
      <c r="I10" s="24">
        <f t="shared" si="9"/>
        <v>1</v>
      </c>
      <c r="J10" s="24">
        <f t="shared" si="10"/>
        <v>0</v>
      </c>
      <c r="K10" s="24">
        <f t="shared" si="11"/>
        <v>3</v>
      </c>
      <c r="L10" s="24">
        <f t="shared" si="12"/>
        <v>-1</v>
      </c>
      <c r="M10" s="24">
        <f t="shared" si="13"/>
        <v>1</v>
      </c>
      <c r="N10" s="24">
        <f t="shared" si="14"/>
        <v>1</v>
      </c>
      <c r="O10" s="13">
        <f t="shared" si="15"/>
        <v>2</v>
      </c>
      <c r="U10" s="8">
        <v>8</v>
      </c>
      <c r="V10" s="48">
        <v>1</v>
      </c>
      <c r="W10" s="7">
        <v>3</v>
      </c>
      <c r="X10" s="47" t="s">
        <v>5</v>
      </c>
      <c r="Y10" s="7">
        <v>29</v>
      </c>
      <c r="Z10" s="44">
        <v>1</v>
      </c>
      <c r="AA10" s="26"/>
      <c r="AB10" s="24">
        <f t="shared" si="2"/>
        <v>1</v>
      </c>
      <c r="AC10" s="24">
        <f t="shared" si="3"/>
        <v>1</v>
      </c>
      <c r="AD10" s="24">
        <f t="shared" si="16"/>
        <v>0</v>
      </c>
      <c r="AE10" s="24">
        <f t="shared" si="17"/>
        <v>3</v>
      </c>
      <c r="AF10" s="24">
        <f t="shared" si="5"/>
        <v>-2</v>
      </c>
      <c r="AG10" s="24">
        <f t="shared" si="6"/>
        <v>1</v>
      </c>
      <c r="AH10" s="24">
        <f t="shared" si="7"/>
        <v>1</v>
      </c>
      <c r="AI10" s="13">
        <f t="shared" si="18"/>
        <v>1</v>
      </c>
    </row>
    <row r="11" spans="1:35" ht="15.75" customHeight="1" thickBot="1" x14ac:dyDescent="0.3">
      <c r="A11" s="7">
        <v>9</v>
      </c>
      <c r="B11" s="23">
        <v>1</v>
      </c>
      <c r="C11" s="23"/>
      <c r="D11" s="23">
        <v>28</v>
      </c>
      <c r="E11" s="1" t="str">
        <f t="shared" si="0"/>
        <v>P</v>
      </c>
      <c r="F11" s="23">
        <v>4</v>
      </c>
      <c r="G11" s="23"/>
      <c r="H11" s="24">
        <f t="shared" si="8"/>
        <v>1</v>
      </c>
      <c r="I11" s="24">
        <f t="shared" si="9"/>
        <v>1</v>
      </c>
      <c r="J11" s="24">
        <f t="shared" si="10"/>
        <v>0</v>
      </c>
      <c r="K11" s="24">
        <f t="shared" si="11"/>
        <v>3</v>
      </c>
      <c r="L11" s="24">
        <f t="shared" si="12"/>
        <v>-2</v>
      </c>
      <c r="M11" s="24">
        <f t="shared" si="13"/>
        <v>1</v>
      </c>
      <c r="N11" s="24">
        <f t="shared" si="14"/>
        <v>1</v>
      </c>
      <c r="O11" s="13">
        <f t="shared" si="15"/>
        <v>1</v>
      </c>
      <c r="U11" s="7">
        <v>9</v>
      </c>
      <c r="V11" s="48">
        <v>2</v>
      </c>
      <c r="W11" s="8">
        <v>28</v>
      </c>
      <c r="X11" s="47" t="s">
        <v>4</v>
      </c>
      <c r="Y11" s="8">
        <v>4</v>
      </c>
      <c r="Z11" s="44">
        <v>2</v>
      </c>
      <c r="AA11" s="26"/>
      <c r="AB11" s="24">
        <f t="shared" si="2"/>
        <v>1</v>
      </c>
      <c r="AC11" s="24">
        <f t="shared" si="3"/>
        <v>1</v>
      </c>
      <c r="AD11" s="24">
        <f t="shared" si="16"/>
        <v>0</v>
      </c>
      <c r="AE11" s="24">
        <f t="shared" si="17"/>
        <v>3</v>
      </c>
      <c r="AF11" s="24">
        <f t="shared" si="5"/>
        <v>-1</v>
      </c>
      <c r="AG11" s="24">
        <f t="shared" si="6"/>
        <v>1</v>
      </c>
      <c r="AH11" s="24">
        <f t="shared" si="7"/>
        <v>1</v>
      </c>
      <c r="AI11" s="13">
        <f t="shared" si="18"/>
        <v>2</v>
      </c>
    </row>
    <row r="12" spans="1:35" ht="15.75" customHeight="1" thickBot="1" x14ac:dyDescent="0.3">
      <c r="A12" s="6">
        <v>10</v>
      </c>
      <c r="B12" s="23">
        <v>2</v>
      </c>
      <c r="C12" s="23"/>
      <c r="D12" s="23">
        <v>5</v>
      </c>
      <c r="E12" s="1" t="str">
        <f t="shared" si="0"/>
        <v>Q</v>
      </c>
      <c r="F12" s="23">
        <v>27</v>
      </c>
      <c r="G12" s="23"/>
      <c r="H12" s="24">
        <f t="shared" si="8"/>
        <v>1</v>
      </c>
      <c r="I12" s="24">
        <f t="shared" si="9"/>
        <v>1</v>
      </c>
      <c r="J12" s="24">
        <f t="shared" si="10"/>
        <v>0</v>
      </c>
      <c r="K12" s="24">
        <f t="shared" si="11"/>
        <v>3</v>
      </c>
      <c r="L12" s="24">
        <f t="shared" si="12"/>
        <v>-1</v>
      </c>
      <c r="M12" s="24">
        <f t="shared" si="13"/>
        <v>1</v>
      </c>
      <c r="N12" s="24">
        <f t="shared" si="14"/>
        <v>1</v>
      </c>
      <c r="O12" s="13">
        <f t="shared" si="15"/>
        <v>2</v>
      </c>
      <c r="U12" s="6">
        <v>10</v>
      </c>
      <c r="V12" s="48">
        <v>1</v>
      </c>
      <c r="W12" s="9">
        <v>5</v>
      </c>
      <c r="X12" s="47" t="s">
        <v>5</v>
      </c>
      <c r="Y12" s="9">
        <v>27</v>
      </c>
      <c r="Z12" s="44">
        <v>1</v>
      </c>
      <c r="AA12" s="26"/>
      <c r="AB12" s="24">
        <f t="shared" si="2"/>
        <v>1</v>
      </c>
      <c r="AC12" s="24">
        <f t="shared" si="3"/>
        <v>1</v>
      </c>
      <c r="AD12" s="24">
        <f t="shared" si="16"/>
        <v>0</v>
      </c>
      <c r="AE12" s="24">
        <f t="shared" si="17"/>
        <v>3</v>
      </c>
      <c r="AF12" s="24">
        <f t="shared" si="5"/>
        <v>-2</v>
      </c>
      <c r="AG12" s="24">
        <f t="shared" si="6"/>
        <v>1</v>
      </c>
      <c r="AH12" s="24">
        <f t="shared" si="7"/>
        <v>1</v>
      </c>
      <c r="AI12" s="13">
        <f t="shared" si="18"/>
        <v>1</v>
      </c>
    </row>
    <row r="13" spans="1:35" ht="15.75" customHeight="1" thickBot="1" x14ac:dyDescent="0.3">
      <c r="A13" s="5">
        <v>11</v>
      </c>
      <c r="B13" s="11">
        <v>2</v>
      </c>
      <c r="C13" s="11"/>
      <c r="D13" s="11">
        <v>32</v>
      </c>
      <c r="E13" s="2" t="str">
        <f t="shared" si="0"/>
        <v>P</v>
      </c>
      <c r="F13" s="11">
        <v>30</v>
      </c>
      <c r="G13" s="23"/>
      <c r="H13" s="24">
        <f t="shared" si="8"/>
        <v>1</v>
      </c>
      <c r="I13" s="24">
        <f t="shared" si="9"/>
        <v>1</v>
      </c>
      <c r="J13" s="24">
        <f t="shared" si="10"/>
        <v>0</v>
      </c>
      <c r="K13" s="24">
        <f t="shared" si="11"/>
        <v>3</v>
      </c>
      <c r="L13" s="24">
        <f t="shared" si="12"/>
        <v>-1</v>
      </c>
      <c r="M13" s="24">
        <f t="shared" si="13"/>
        <v>1</v>
      </c>
      <c r="N13" s="24">
        <f t="shared" si="14"/>
        <v>1</v>
      </c>
      <c r="O13" s="13">
        <f t="shared" si="15"/>
        <v>2</v>
      </c>
      <c r="U13" s="5">
        <v>11</v>
      </c>
      <c r="V13" s="48">
        <v>3</v>
      </c>
      <c r="W13" s="6">
        <v>2</v>
      </c>
      <c r="X13" s="46" t="s">
        <v>4</v>
      </c>
      <c r="Y13" s="6">
        <v>50</v>
      </c>
      <c r="Z13" s="43">
        <v>3</v>
      </c>
      <c r="AA13" s="26"/>
      <c r="AB13" s="24">
        <f t="shared" si="2"/>
        <v>1</v>
      </c>
      <c r="AC13" s="24">
        <f t="shared" si="3"/>
        <v>1</v>
      </c>
      <c r="AD13" s="24">
        <f t="shared" si="16"/>
        <v>0</v>
      </c>
      <c r="AE13" s="24">
        <f t="shared" si="17"/>
        <v>3</v>
      </c>
      <c r="AF13" s="24">
        <f t="shared" si="5"/>
        <v>0</v>
      </c>
      <c r="AG13" s="24">
        <f t="shared" si="6"/>
        <v>1</v>
      </c>
      <c r="AH13" s="24">
        <f t="shared" si="7"/>
        <v>1</v>
      </c>
      <c r="AI13" s="13">
        <f t="shared" si="18"/>
        <v>3</v>
      </c>
    </row>
    <row r="14" spans="1:35" ht="15.75" customHeight="1" thickBot="1" x14ac:dyDescent="0.3">
      <c r="A14" s="6">
        <v>12</v>
      </c>
      <c r="B14" s="23">
        <v>2</v>
      </c>
      <c r="C14" s="23"/>
      <c r="D14" s="23">
        <v>29</v>
      </c>
      <c r="E14" s="1" t="str">
        <f t="shared" si="0"/>
        <v>Q</v>
      </c>
      <c r="F14" s="23">
        <v>33</v>
      </c>
      <c r="G14" s="23"/>
      <c r="H14" s="24">
        <f t="shared" si="8"/>
        <v>1</v>
      </c>
      <c r="I14" s="24">
        <f t="shared" si="9"/>
        <v>1</v>
      </c>
      <c r="J14" s="24">
        <f t="shared" si="10"/>
        <v>0</v>
      </c>
      <c r="K14" s="24">
        <f t="shared" si="11"/>
        <v>3</v>
      </c>
      <c r="L14" s="24">
        <f t="shared" si="12"/>
        <v>-1</v>
      </c>
      <c r="M14" s="24">
        <f t="shared" si="13"/>
        <v>1</v>
      </c>
      <c r="N14" s="24">
        <f t="shared" si="14"/>
        <v>1</v>
      </c>
      <c r="O14" s="13">
        <f t="shared" si="15"/>
        <v>2</v>
      </c>
      <c r="U14" s="6">
        <v>12</v>
      </c>
      <c r="V14" s="48">
        <v>1</v>
      </c>
      <c r="W14" s="7">
        <v>49</v>
      </c>
      <c r="X14" s="46" t="s">
        <v>5</v>
      </c>
      <c r="Y14" s="7">
        <v>3</v>
      </c>
      <c r="Z14" s="43">
        <v>1</v>
      </c>
      <c r="AA14" s="26"/>
      <c r="AB14" s="24">
        <f t="shared" si="2"/>
        <v>1</v>
      </c>
      <c r="AC14" s="24">
        <f t="shared" si="3"/>
        <v>1</v>
      </c>
      <c r="AD14" s="24">
        <f t="shared" si="16"/>
        <v>0</v>
      </c>
      <c r="AE14" s="24">
        <f t="shared" si="17"/>
        <v>3</v>
      </c>
      <c r="AF14" s="24">
        <f t="shared" si="5"/>
        <v>-2</v>
      </c>
      <c r="AG14" s="24">
        <f t="shared" si="6"/>
        <v>1</v>
      </c>
      <c r="AH14" s="24">
        <f t="shared" si="7"/>
        <v>1</v>
      </c>
      <c r="AI14" s="13">
        <f t="shared" si="18"/>
        <v>1</v>
      </c>
    </row>
    <row r="15" spans="1:35" ht="15.75" customHeight="1" thickBot="1" x14ac:dyDescent="0.3">
      <c r="A15" s="7">
        <v>13</v>
      </c>
      <c r="B15" s="23">
        <v>1</v>
      </c>
      <c r="C15" s="23"/>
      <c r="D15" s="23">
        <v>34</v>
      </c>
      <c r="E15" s="1" t="str">
        <f t="shared" si="0"/>
        <v>P</v>
      </c>
      <c r="F15" s="23">
        <v>28</v>
      </c>
      <c r="G15" s="23"/>
      <c r="H15" s="24">
        <f t="shared" si="8"/>
        <v>1</v>
      </c>
      <c r="I15" s="24">
        <f t="shared" si="9"/>
        <v>1</v>
      </c>
      <c r="J15" s="24">
        <f t="shared" si="10"/>
        <v>0</v>
      </c>
      <c r="K15" s="24">
        <f t="shared" si="11"/>
        <v>3</v>
      </c>
      <c r="L15" s="24">
        <f t="shared" si="12"/>
        <v>-2</v>
      </c>
      <c r="M15" s="24">
        <f t="shared" si="13"/>
        <v>1</v>
      </c>
      <c r="N15" s="24">
        <f t="shared" si="14"/>
        <v>1</v>
      </c>
      <c r="O15" s="13">
        <f t="shared" si="15"/>
        <v>1</v>
      </c>
      <c r="U15" s="7">
        <v>13</v>
      </c>
      <c r="V15" s="48">
        <v>2</v>
      </c>
      <c r="W15" s="8">
        <v>4</v>
      </c>
      <c r="X15" s="46" t="s">
        <v>4</v>
      </c>
      <c r="Y15" s="8">
        <v>48</v>
      </c>
      <c r="Z15" s="43">
        <v>2</v>
      </c>
      <c r="AA15" s="26"/>
      <c r="AB15" s="24">
        <f t="shared" si="2"/>
        <v>1</v>
      </c>
      <c r="AC15" s="24">
        <f t="shared" si="3"/>
        <v>1</v>
      </c>
      <c r="AD15" s="24">
        <f t="shared" si="16"/>
        <v>0</v>
      </c>
      <c r="AE15" s="24">
        <f t="shared" si="17"/>
        <v>3</v>
      </c>
      <c r="AF15" s="24">
        <f t="shared" si="5"/>
        <v>-1</v>
      </c>
      <c r="AG15" s="24">
        <f t="shared" si="6"/>
        <v>1</v>
      </c>
      <c r="AH15" s="24">
        <f t="shared" si="7"/>
        <v>1</v>
      </c>
      <c r="AI15" s="13">
        <f t="shared" si="18"/>
        <v>2</v>
      </c>
    </row>
    <row r="16" spans="1:35" ht="15.75" customHeight="1" thickBot="1" x14ac:dyDescent="0.3">
      <c r="A16" s="8">
        <v>14</v>
      </c>
      <c r="B16" s="23">
        <v>2</v>
      </c>
      <c r="C16" s="23"/>
      <c r="D16" s="23">
        <v>27</v>
      </c>
      <c r="E16" s="1" t="str">
        <f t="shared" si="0"/>
        <v>Q</v>
      </c>
      <c r="F16" s="23">
        <v>35</v>
      </c>
      <c r="G16" s="23"/>
      <c r="H16" s="24">
        <f t="shared" si="8"/>
        <v>1</v>
      </c>
      <c r="I16" s="24">
        <f t="shared" si="9"/>
        <v>1</v>
      </c>
      <c r="J16" s="24">
        <f t="shared" si="10"/>
        <v>0</v>
      </c>
      <c r="K16" s="24">
        <f t="shared" si="11"/>
        <v>3</v>
      </c>
      <c r="L16" s="24">
        <f t="shared" si="12"/>
        <v>-1</v>
      </c>
      <c r="M16" s="24">
        <f t="shared" si="13"/>
        <v>1</v>
      </c>
      <c r="N16" s="24">
        <f t="shared" si="14"/>
        <v>1</v>
      </c>
      <c r="O16" s="13">
        <f t="shared" si="15"/>
        <v>2</v>
      </c>
      <c r="U16" s="8">
        <v>14</v>
      </c>
      <c r="V16" s="48">
        <v>1</v>
      </c>
      <c r="W16" s="9">
        <v>47</v>
      </c>
      <c r="X16" s="46" t="s">
        <v>5</v>
      </c>
      <c r="Y16" s="9">
        <v>5</v>
      </c>
      <c r="Z16" s="43">
        <v>1</v>
      </c>
      <c r="AA16" s="26"/>
      <c r="AB16" s="24">
        <f t="shared" si="2"/>
        <v>1</v>
      </c>
      <c r="AC16" s="24">
        <f t="shared" si="3"/>
        <v>1</v>
      </c>
      <c r="AD16" s="24">
        <f t="shared" si="16"/>
        <v>0</v>
      </c>
      <c r="AE16" s="24">
        <f t="shared" si="17"/>
        <v>3</v>
      </c>
      <c r="AF16" s="24">
        <f t="shared" si="5"/>
        <v>-2</v>
      </c>
      <c r="AG16" s="24">
        <f t="shared" si="6"/>
        <v>1</v>
      </c>
      <c r="AH16" s="24">
        <f t="shared" si="7"/>
        <v>1</v>
      </c>
      <c r="AI16" s="13">
        <f t="shared" si="18"/>
        <v>1</v>
      </c>
    </row>
    <row r="17" spans="1:35" ht="15.75" customHeight="1" thickBot="1" x14ac:dyDescent="0.3">
      <c r="A17" s="9">
        <v>15</v>
      </c>
      <c r="B17" s="23">
        <v>1</v>
      </c>
      <c r="C17" s="23"/>
      <c r="D17" s="23">
        <v>36</v>
      </c>
      <c r="E17" s="1" t="str">
        <f t="shared" si="0"/>
        <v>P</v>
      </c>
      <c r="F17" s="23">
        <v>26</v>
      </c>
      <c r="G17" s="10"/>
      <c r="H17" s="24">
        <f t="shared" si="8"/>
        <v>1</v>
      </c>
      <c r="I17" s="24">
        <f t="shared" si="9"/>
        <v>1</v>
      </c>
      <c r="J17" s="24">
        <f t="shared" si="10"/>
        <v>0</v>
      </c>
      <c r="K17" s="24">
        <f t="shared" si="11"/>
        <v>3</v>
      </c>
      <c r="L17" s="24">
        <f t="shared" si="12"/>
        <v>-2</v>
      </c>
      <c r="M17" s="24">
        <f t="shared" si="13"/>
        <v>1</v>
      </c>
      <c r="N17" s="24">
        <f t="shared" si="14"/>
        <v>1</v>
      </c>
      <c r="O17" s="13">
        <f t="shared" si="15"/>
        <v>1</v>
      </c>
      <c r="U17" s="9">
        <v>15</v>
      </c>
      <c r="V17" s="48">
        <v>2</v>
      </c>
      <c r="W17" s="3">
        <v>6</v>
      </c>
      <c r="X17" s="46" t="s">
        <v>4</v>
      </c>
      <c r="Y17" s="3">
        <v>46</v>
      </c>
      <c r="Z17" s="43">
        <v>2</v>
      </c>
      <c r="AA17" s="26"/>
      <c r="AB17" s="24">
        <f t="shared" si="2"/>
        <v>1</v>
      </c>
      <c r="AC17" s="24">
        <f t="shared" si="3"/>
        <v>1</v>
      </c>
      <c r="AD17" s="24">
        <f t="shared" si="16"/>
        <v>0</v>
      </c>
      <c r="AE17" s="24">
        <f t="shared" si="17"/>
        <v>3</v>
      </c>
      <c r="AF17" s="24">
        <f t="shared" si="5"/>
        <v>-1</v>
      </c>
      <c r="AG17" s="24">
        <f t="shared" si="6"/>
        <v>1</v>
      </c>
      <c r="AH17" s="24">
        <f t="shared" si="7"/>
        <v>1</v>
      </c>
      <c r="AI17" s="13">
        <f t="shared" si="18"/>
        <v>2</v>
      </c>
    </row>
    <row r="18" spans="1:35" ht="15.75" customHeight="1" thickBot="1" x14ac:dyDescent="0.3">
      <c r="A18" s="3">
        <v>16</v>
      </c>
      <c r="B18" s="23">
        <v>1</v>
      </c>
      <c r="C18" s="23"/>
      <c r="D18" s="10">
        <v>41</v>
      </c>
      <c r="E18" s="1" t="str">
        <f t="shared" si="0"/>
        <v>Q</v>
      </c>
      <c r="F18" s="10">
        <v>21</v>
      </c>
      <c r="G18" s="23"/>
      <c r="H18" s="24">
        <f t="shared" si="8"/>
        <v>1</v>
      </c>
      <c r="I18" s="24">
        <f t="shared" si="9"/>
        <v>1</v>
      </c>
      <c r="J18" s="24">
        <f t="shared" si="10"/>
        <v>0</v>
      </c>
      <c r="K18" s="24">
        <f t="shared" si="11"/>
        <v>3</v>
      </c>
      <c r="L18" s="24">
        <f t="shared" si="12"/>
        <v>-2</v>
      </c>
      <c r="M18" s="24">
        <f t="shared" si="13"/>
        <v>1</v>
      </c>
      <c r="N18" s="24">
        <f t="shared" si="14"/>
        <v>1</v>
      </c>
      <c r="O18" s="13">
        <f t="shared" si="15"/>
        <v>1</v>
      </c>
      <c r="U18" s="3">
        <v>16</v>
      </c>
      <c r="V18" s="48">
        <v>2</v>
      </c>
      <c r="W18" s="4">
        <v>11</v>
      </c>
      <c r="X18" s="47" t="s">
        <v>5</v>
      </c>
      <c r="Y18" s="4">
        <v>41</v>
      </c>
      <c r="Z18" s="44">
        <v>2</v>
      </c>
      <c r="AA18" s="26"/>
      <c r="AB18" s="24">
        <f t="shared" si="2"/>
        <v>1</v>
      </c>
      <c r="AC18" s="24">
        <f t="shared" si="3"/>
        <v>1</v>
      </c>
      <c r="AD18" s="24">
        <f t="shared" si="16"/>
        <v>0</v>
      </c>
      <c r="AE18" s="24">
        <f t="shared" si="17"/>
        <v>3</v>
      </c>
      <c r="AF18" s="24">
        <f t="shared" si="5"/>
        <v>-1</v>
      </c>
      <c r="AG18" s="24">
        <f t="shared" si="6"/>
        <v>1</v>
      </c>
      <c r="AH18" s="24">
        <f t="shared" si="7"/>
        <v>1</v>
      </c>
      <c r="AI18" s="13">
        <f t="shared" si="18"/>
        <v>2</v>
      </c>
    </row>
    <row r="19" spans="1:35" ht="15.75" customHeight="1" thickBot="1" x14ac:dyDescent="0.3">
      <c r="A19" s="9">
        <v>17</v>
      </c>
      <c r="B19" s="23">
        <v>1</v>
      </c>
      <c r="C19" s="23"/>
      <c r="D19" s="23">
        <v>20</v>
      </c>
      <c r="E19" s="1" t="str">
        <f t="shared" si="0"/>
        <v>P</v>
      </c>
      <c r="F19" s="23">
        <v>42</v>
      </c>
      <c r="G19" s="23"/>
      <c r="H19" s="24">
        <f t="shared" si="8"/>
        <v>1</v>
      </c>
      <c r="I19" s="24">
        <f t="shared" si="9"/>
        <v>1</v>
      </c>
      <c r="J19" s="24">
        <f t="shared" si="10"/>
        <v>0</v>
      </c>
      <c r="K19" s="24">
        <f t="shared" si="11"/>
        <v>3</v>
      </c>
      <c r="L19" s="24">
        <f t="shared" si="12"/>
        <v>-2</v>
      </c>
      <c r="M19" s="24">
        <f t="shared" si="13"/>
        <v>1</v>
      </c>
      <c r="N19" s="24">
        <f t="shared" si="14"/>
        <v>1</v>
      </c>
      <c r="O19" s="13">
        <f t="shared" si="15"/>
        <v>1</v>
      </c>
      <c r="U19" s="9">
        <v>17</v>
      </c>
      <c r="V19" s="48">
        <v>2</v>
      </c>
      <c r="W19" s="6">
        <v>40</v>
      </c>
      <c r="X19" s="47" t="s">
        <v>4</v>
      </c>
      <c r="Y19" s="6">
        <v>12</v>
      </c>
      <c r="Z19" s="44">
        <v>2</v>
      </c>
      <c r="AA19" s="26"/>
      <c r="AB19" s="24">
        <f t="shared" si="2"/>
        <v>1</v>
      </c>
      <c r="AC19" s="24">
        <f t="shared" si="3"/>
        <v>1</v>
      </c>
      <c r="AD19" s="24">
        <f t="shared" si="16"/>
        <v>0</v>
      </c>
      <c r="AE19" s="24">
        <f t="shared" si="17"/>
        <v>3</v>
      </c>
      <c r="AF19" s="24">
        <f t="shared" si="5"/>
        <v>-1</v>
      </c>
      <c r="AG19" s="24">
        <f t="shared" si="6"/>
        <v>1</v>
      </c>
      <c r="AH19" s="24">
        <f t="shared" si="7"/>
        <v>1</v>
      </c>
      <c r="AI19" s="13">
        <f t="shared" si="18"/>
        <v>2</v>
      </c>
    </row>
    <row r="20" spans="1:35" ht="15.75" customHeight="1" thickBot="1" x14ac:dyDescent="0.3">
      <c r="A20" s="8">
        <v>18</v>
      </c>
      <c r="B20" s="23">
        <v>2</v>
      </c>
      <c r="C20" s="23"/>
      <c r="D20" s="23">
        <v>43</v>
      </c>
      <c r="E20" s="1" t="str">
        <f t="shared" si="0"/>
        <v>Q</v>
      </c>
      <c r="F20" s="23">
        <v>19</v>
      </c>
      <c r="G20" s="23"/>
      <c r="H20" s="24">
        <f t="shared" si="8"/>
        <v>1</v>
      </c>
      <c r="I20" s="24">
        <f t="shared" si="9"/>
        <v>1</v>
      </c>
      <c r="J20" s="24">
        <f t="shared" si="10"/>
        <v>0</v>
      </c>
      <c r="K20" s="24">
        <f t="shared" si="11"/>
        <v>3</v>
      </c>
      <c r="L20" s="24">
        <f t="shared" si="12"/>
        <v>-1</v>
      </c>
      <c r="M20" s="24">
        <f t="shared" si="13"/>
        <v>1</v>
      </c>
      <c r="N20" s="24">
        <f t="shared" si="14"/>
        <v>1</v>
      </c>
      <c r="O20" s="13">
        <f t="shared" si="15"/>
        <v>2</v>
      </c>
      <c r="U20" s="8">
        <v>18</v>
      </c>
      <c r="V20" s="48">
        <v>1</v>
      </c>
      <c r="W20" s="7">
        <v>13</v>
      </c>
      <c r="X20" s="47" t="s">
        <v>5</v>
      </c>
      <c r="Y20" s="7">
        <v>39</v>
      </c>
      <c r="Z20" s="44">
        <v>1</v>
      </c>
      <c r="AA20" s="26"/>
      <c r="AB20" s="24">
        <f t="shared" si="2"/>
        <v>1</v>
      </c>
      <c r="AC20" s="24">
        <f t="shared" si="3"/>
        <v>1</v>
      </c>
      <c r="AD20" s="24">
        <f t="shared" si="16"/>
        <v>0</v>
      </c>
      <c r="AE20" s="24">
        <f t="shared" si="17"/>
        <v>3</v>
      </c>
      <c r="AF20" s="24">
        <f t="shared" si="5"/>
        <v>-2</v>
      </c>
      <c r="AG20" s="24">
        <f t="shared" si="6"/>
        <v>1</v>
      </c>
      <c r="AH20" s="24">
        <f t="shared" si="7"/>
        <v>1</v>
      </c>
      <c r="AI20" s="13">
        <f t="shared" si="18"/>
        <v>1</v>
      </c>
    </row>
    <row r="21" spans="1:35" ht="15.75" customHeight="1" thickBot="1" x14ac:dyDescent="0.3">
      <c r="A21" s="7">
        <v>19</v>
      </c>
      <c r="B21" s="23">
        <v>1</v>
      </c>
      <c r="C21" s="23"/>
      <c r="D21" s="23">
        <v>18</v>
      </c>
      <c r="E21" s="1" t="str">
        <f t="shared" si="0"/>
        <v>P</v>
      </c>
      <c r="F21" s="23">
        <v>44</v>
      </c>
      <c r="G21" s="23"/>
      <c r="H21" s="24">
        <f t="shared" si="8"/>
        <v>1</v>
      </c>
      <c r="I21" s="24">
        <f t="shared" si="9"/>
        <v>1</v>
      </c>
      <c r="J21" s="24">
        <f t="shared" si="10"/>
        <v>0</v>
      </c>
      <c r="K21" s="24">
        <f t="shared" si="11"/>
        <v>3</v>
      </c>
      <c r="L21" s="24">
        <f t="shared" si="12"/>
        <v>-2</v>
      </c>
      <c r="M21" s="24">
        <f t="shared" si="13"/>
        <v>1</v>
      </c>
      <c r="N21" s="24">
        <f t="shared" si="14"/>
        <v>1</v>
      </c>
      <c r="O21" s="13">
        <f t="shared" si="15"/>
        <v>1</v>
      </c>
      <c r="U21" s="7">
        <v>19</v>
      </c>
      <c r="V21" s="48">
        <v>2</v>
      </c>
      <c r="W21" s="8">
        <v>38</v>
      </c>
      <c r="X21" s="47" t="s">
        <v>4</v>
      </c>
      <c r="Y21" s="8">
        <v>14</v>
      </c>
      <c r="Z21" s="44">
        <v>2</v>
      </c>
      <c r="AA21" s="26"/>
      <c r="AB21" s="24">
        <f t="shared" si="2"/>
        <v>1</v>
      </c>
      <c r="AC21" s="24">
        <f t="shared" si="3"/>
        <v>1</v>
      </c>
      <c r="AD21" s="24">
        <f t="shared" si="16"/>
        <v>0</v>
      </c>
      <c r="AE21" s="24">
        <f t="shared" si="17"/>
        <v>3</v>
      </c>
      <c r="AF21" s="24">
        <f t="shared" si="5"/>
        <v>-1</v>
      </c>
      <c r="AG21" s="24">
        <f t="shared" si="6"/>
        <v>1</v>
      </c>
      <c r="AH21" s="24">
        <f t="shared" si="7"/>
        <v>1</v>
      </c>
      <c r="AI21" s="13">
        <f t="shared" si="18"/>
        <v>2</v>
      </c>
    </row>
    <row r="22" spans="1:35" ht="15.75" customHeight="1" thickBot="1" x14ac:dyDescent="0.3">
      <c r="A22" s="6">
        <v>20</v>
      </c>
      <c r="B22" s="23">
        <v>2</v>
      </c>
      <c r="C22" s="23"/>
      <c r="D22" s="23">
        <v>45</v>
      </c>
      <c r="E22" s="1" t="str">
        <f t="shared" si="0"/>
        <v>Q</v>
      </c>
      <c r="F22" s="23">
        <v>17</v>
      </c>
      <c r="G22" s="23"/>
      <c r="H22" s="24">
        <f t="shared" si="8"/>
        <v>1</v>
      </c>
      <c r="I22" s="24">
        <f t="shared" si="9"/>
        <v>1</v>
      </c>
      <c r="J22" s="24">
        <f t="shared" si="10"/>
        <v>0</v>
      </c>
      <c r="K22" s="24">
        <f t="shared" si="11"/>
        <v>3</v>
      </c>
      <c r="L22" s="24">
        <f t="shared" si="12"/>
        <v>-1</v>
      </c>
      <c r="M22" s="24">
        <f t="shared" si="13"/>
        <v>1</v>
      </c>
      <c r="N22" s="24">
        <f t="shared" si="14"/>
        <v>1</v>
      </c>
      <c r="O22" s="13">
        <f t="shared" si="15"/>
        <v>2</v>
      </c>
      <c r="U22" s="6">
        <v>20</v>
      </c>
      <c r="V22" s="48">
        <v>1</v>
      </c>
      <c r="W22" s="9">
        <v>15</v>
      </c>
      <c r="X22" s="47" t="s">
        <v>5</v>
      </c>
      <c r="Y22" s="9">
        <v>37</v>
      </c>
      <c r="Z22" s="44">
        <v>1</v>
      </c>
      <c r="AA22" s="26"/>
      <c r="AB22" s="24">
        <f t="shared" si="2"/>
        <v>1</v>
      </c>
      <c r="AC22" s="24">
        <f t="shared" si="3"/>
        <v>1</v>
      </c>
      <c r="AD22" s="24">
        <f t="shared" si="16"/>
        <v>0</v>
      </c>
      <c r="AE22" s="24">
        <f t="shared" si="17"/>
        <v>3</v>
      </c>
      <c r="AF22" s="24">
        <f t="shared" si="5"/>
        <v>-2</v>
      </c>
      <c r="AG22" s="24">
        <f t="shared" si="6"/>
        <v>1</v>
      </c>
      <c r="AH22" s="24">
        <f t="shared" si="7"/>
        <v>1</v>
      </c>
      <c r="AI22" s="13">
        <f t="shared" si="18"/>
        <v>1</v>
      </c>
    </row>
    <row r="23" spans="1:35" ht="15.75" customHeight="1" thickBot="1" x14ac:dyDescent="0.3">
      <c r="A23" s="5">
        <v>21</v>
      </c>
      <c r="B23" s="11">
        <v>2</v>
      </c>
      <c r="C23" s="11"/>
      <c r="D23" s="11">
        <v>22</v>
      </c>
      <c r="E23" s="2" t="str">
        <f t="shared" si="0"/>
        <v>P</v>
      </c>
      <c r="F23" s="11">
        <v>20</v>
      </c>
      <c r="G23" s="23"/>
      <c r="H23" s="24">
        <f t="shared" si="8"/>
        <v>1</v>
      </c>
      <c r="I23" s="24">
        <f t="shared" si="9"/>
        <v>1</v>
      </c>
      <c r="J23" s="24">
        <f t="shared" si="10"/>
        <v>0</v>
      </c>
      <c r="K23" s="24">
        <f t="shared" si="11"/>
        <v>3</v>
      </c>
      <c r="L23" s="24">
        <f t="shared" si="12"/>
        <v>-1</v>
      </c>
      <c r="M23" s="24">
        <f t="shared" si="13"/>
        <v>1</v>
      </c>
      <c r="N23" s="24">
        <f t="shared" si="14"/>
        <v>1</v>
      </c>
      <c r="O23" s="13">
        <f t="shared" si="15"/>
        <v>2</v>
      </c>
      <c r="U23" s="5">
        <v>21</v>
      </c>
      <c r="V23" s="48">
        <v>3</v>
      </c>
      <c r="W23" s="6">
        <v>12</v>
      </c>
      <c r="X23" s="46" t="s">
        <v>4</v>
      </c>
      <c r="Y23" s="6">
        <v>10</v>
      </c>
      <c r="Z23" s="43">
        <v>3</v>
      </c>
      <c r="AA23" s="26"/>
      <c r="AB23" s="24">
        <f t="shared" si="2"/>
        <v>1</v>
      </c>
      <c r="AC23" s="24">
        <f t="shared" si="3"/>
        <v>1</v>
      </c>
      <c r="AD23" s="24">
        <f t="shared" si="16"/>
        <v>0</v>
      </c>
      <c r="AE23" s="24">
        <f t="shared" si="17"/>
        <v>3</v>
      </c>
      <c r="AF23" s="24">
        <f t="shared" si="5"/>
        <v>0</v>
      </c>
      <c r="AG23" s="24">
        <f t="shared" si="6"/>
        <v>1</v>
      </c>
      <c r="AH23" s="24">
        <f t="shared" si="7"/>
        <v>1</v>
      </c>
      <c r="AI23" s="13">
        <f t="shared" si="18"/>
        <v>3</v>
      </c>
    </row>
    <row r="24" spans="1:35" ht="15.75" customHeight="1" thickBot="1" x14ac:dyDescent="0.3">
      <c r="A24" s="6">
        <v>22</v>
      </c>
      <c r="B24" s="23">
        <v>2</v>
      </c>
      <c r="C24" s="23"/>
      <c r="D24" s="23">
        <v>19</v>
      </c>
      <c r="E24" s="1" t="str">
        <f t="shared" si="0"/>
        <v>Q</v>
      </c>
      <c r="F24" s="23">
        <v>23</v>
      </c>
      <c r="G24" s="23"/>
      <c r="H24" s="24">
        <f t="shared" si="8"/>
        <v>1</v>
      </c>
      <c r="I24" s="24">
        <f t="shared" si="9"/>
        <v>1</v>
      </c>
      <c r="J24" s="24">
        <f t="shared" si="10"/>
        <v>0</v>
      </c>
      <c r="K24" s="24">
        <f t="shared" si="11"/>
        <v>3</v>
      </c>
      <c r="L24" s="24">
        <f t="shared" si="12"/>
        <v>-1</v>
      </c>
      <c r="M24" s="24">
        <f t="shared" si="13"/>
        <v>1</v>
      </c>
      <c r="N24" s="24">
        <f t="shared" si="14"/>
        <v>1</v>
      </c>
      <c r="O24" s="13">
        <f t="shared" si="15"/>
        <v>2</v>
      </c>
      <c r="U24" s="6">
        <v>22</v>
      </c>
      <c r="V24" s="48">
        <v>1</v>
      </c>
      <c r="W24" s="7">
        <v>9</v>
      </c>
      <c r="X24" s="46" t="s">
        <v>5</v>
      </c>
      <c r="Y24" s="7">
        <v>13</v>
      </c>
      <c r="Z24" s="43">
        <v>1</v>
      </c>
      <c r="AA24" s="26"/>
      <c r="AB24" s="24">
        <f t="shared" si="2"/>
        <v>1</v>
      </c>
      <c r="AC24" s="24">
        <f t="shared" si="3"/>
        <v>1</v>
      </c>
      <c r="AD24" s="24">
        <f t="shared" si="16"/>
        <v>0</v>
      </c>
      <c r="AE24" s="24">
        <f t="shared" si="17"/>
        <v>3</v>
      </c>
      <c r="AF24" s="24">
        <f t="shared" si="5"/>
        <v>-2</v>
      </c>
      <c r="AG24" s="24">
        <f t="shared" si="6"/>
        <v>1</v>
      </c>
      <c r="AH24" s="24">
        <f t="shared" si="7"/>
        <v>1</v>
      </c>
      <c r="AI24" s="13">
        <f t="shared" si="18"/>
        <v>1</v>
      </c>
    </row>
    <row r="25" spans="1:35" ht="15.75" customHeight="1" thickBot="1" x14ac:dyDescent="0.3">
      <c r="A25" s="7">
        <v>23</v>
      </c>
      <c r="B25" s="23">
        <v>1</v>
      </c>
      <c r="C25" s="23"/>
      <c r="D25" s="23">
        <v>24</v>
      </c>
      <c r="E25" s="1" t="str">
        <f t="shared" si="0"/>
        <v>P</v>
      </c>
      <c r="F25" s="23">
        <v>18</v>
      </c>
      <c r="G25" s="23"/>
      <c r="H25" s="24">
        <f t="shared" si="8"/>
        <v>1</v>
      </c>
      <c r="I25" s="24">
        <f t="shared" si="9"/>
        <v>1</v>
      </c>
      <c r="J25" s="24">
        <f t="shared" si="10"/>
        <v>0</v>
      </c>
      <c r="K25" s="24">
        <f t="shared" si="11"/>
        <v>3</v>
      </c>
      <c r="L25" s="24">
        <f t="shared" si="12"/>
        <v>-2</v>
      </c>
      <c r="M25" s="24">
        <f t="shared" si="13"/>
        <v>1</v>
      </c>
      <c r="N25" s="24">
        <f t="shared" si="14"/>
        <v>1</v>
      </c>
      <c r="O25" s="13">
        <f t="shared" si="15"/>
        <v>1</v>
      </c>
      <c r="U25" s="7">
        <v>23</v>
      </c>
      <c r="V25" s="48">
        <v>2</v>
      </c>
      <c r="W25" s="8">
        <v>14</v>
      </c>
      <c r="X25" s="46" t="s">
        <v>4</v>
      </c>
      <c r="Y25" s="8">
        <v>8</v>
      </c>
      <c r="Z25" s="43">
        <v>2</v>
      </c>
      <c r="AA25" s="26"/>
      <c r="AB25" s="24">
        <f t="shared" si="2"/>
        <v>1</v>
      </c>
      <c r="AC25" s="24">
        <f t="shared" si="3"/>
        <v>1</v>
      </c>
      <c r="AD25" s="24">
        <f t="shared" si="16"/>
        <v>0</v>
      </c>
      <c r="AE25" s="24">
        <f t="shared" si="17"/>
        <v>3</v>
      </c>
      <c r="AF25" s="24">
        <f t="shared" si="5"/>
        <v>-1</v>
      </c>
      <c r="AG25" s="24">
        <f t="shared" si="6"/>
        <v>1</v>
      </c>
      <c r="AH25" s="24">
        <f t="shared" si="7"/>
        <v>1</v>
      </c>
      <c r="AI25" s="13">
        <f t="shared" si="18"/>
        <v>2</v>
      </c>
    </row>
    <row r="26" spans="1:35" ht="15.75" customHeight="1" thickBot="1" x14ac:dyDescent="0.3">
      <c r="A26" s="8">
        <v>24</v>
      </c>
      <c r="B26" s="23">
        <v>2</v>
      </c>
      <c r="C26" s="23"/>
      <c r="D26" s="23">
        <v>17</v>
      </c>
      <c r="E26" s="1" t="str">
        <f t="shared" si="0"/>
        <v>Q</v>
      </c>
      <c r="F26" s="23">
        <v>25</v>
      </c>
      <c r="G26" s="23"/>
      <c r="H26" s="24">
        <f t="shared" si="8"/>
        <v>1</v>
      </c>
      <c r="I26" s="24">
        <f t="shared" si="9"/>
        <v>1</v>
      </c>
      <c r="J26" s="24">
        <f t="shared" si="10"/>
        <v>0</v>
      </c>
      <c r="K26" s="24">
        <f t="shared" si="11"/>
        <v>3</v>
      </c>
      <c r="L26" s="24">
        <f t="shared" si="12"/>
        <v>-1</v>
      </c>
      <c r="M26" s="24">
        <f t="shared" si="13"/>
        <v>1</v>
      </c>
      <c r="N26" s="24">
        <f t="shared" si="14"/>
        <v>1</v>
      </c>
      <c r="O26" s="13">
        <f t="shared" si="15"/>
        <v>2</v>
      </c>
      <c r="U26" s="8">
        <v>24</v>
      </c>
      <c r="V26" s="48">
        <v>1</v>
      </c>
      <c r="W26" s="9">
        <v>7</v>
      </c>
      <c r="X26" s="46" t="s">
        <v>5</v>
      </c>
      <c r="Y26" s="9">
        <v>15</v>
      </c>
      <c r="Z26" s="43">
        <v>1</v>
      </c>
      <c r="AA26" s="26"/>
      <c r="AB26" s="24">
        <f t="shared" si="2"/>
        <v>1</v>
      </c>
      <c r="AC26" s="24">
        <f t="shared" si="3"/>
        <v>1</v>
      </c>
      <c r="AD26" s="24">
        <f t="shared" si="16"/>
        <v>0</v>
      </c>
      <c r="AE26" s="24">
        <f t="shared" si="17"/>
        <v>3</v>
      </c>
      <c r="AF26" s="24">
        <f t="shared" si="5"/>
        <v>-2</v>
      </c>
      <c r="AG26" s="24">
        <f t="shared" si="6"/>
        <v>1</v>
      </c>
      <c r="AH26" s="24">
        <f t="shared" si="7"/>
        <v>1</v>
      </c>
      <c r="AI26" s="13">
        <f t="shared" si="18"/>
        <v>1</v>
      </c>
    </row>
    <row r="27" spans="1:35" ht="15.75" customHeight="1" thickBot="1" x14ac:dyDescent="0.3">
      <c r="A27" s="9">
        <v>25</v>
      </c>
      <c r="B27" s="23">
        <v>1</v>
      </c>
      <c r="C27" s="23"/>
      <c r="D27" s="23">
        <v>26</v>
      </c>
      <c r="E27" s="1" t="str">
        <f t="shared" si="0"/>
        <v>P</v>
      </c>
      <c r="F27" s="23">
        <v>16</v>
      </c>
      <c r="G27" s="10"/>
      <c r="H27" s="24">
        <f t="shared" si="8"/>
        <v>1</v>
      </c>
      <c r="I27" s="24">
        <f t="shared" si="9"/>
        <v>1</v>
      </c>
      <c r="J27" s="24">
        <f t="shared" si="10"/>
        <v>0</v>
      </c>
      <c r="K27" s="24">
        <f t="shared" si="11"/>
        <v>3</v>
      </c>
      <c r="L27" s="24">
        <f t="shared" si="12"/>
        <v>-2</v>
      </c>
      <c r="M27" s="24">
        <f t="shared" si="13"/>
        <v>1</v>
      </c>
      <c r="N27" s="24">
        <f t="shared" si="14"/>
        <v>1</v>
      </c>
      <c r="O27" s="13">
        <f t="shared" si="15"/>
        <v>1</v>
      </c>
      <c r="U27" s="9">
        <v>25</v>
      </c>
      <c r="V27" s="48">
        <v>2</v>
      </c>
      <c r="W27" s="3">
        <v>16</v>
      </c>
      <c r="X27" s="46" t="s">
        <v>4</v>
      </c>
      <c r="Y27" s="3">
        <v>6</v>
      </c>
      <c r="Z27" s="43">
        <v>2</v>
      </c>
      <c r="AA27" s="26"/>
      <c r="AB27" s="24">
        <f t="shared" si="2"/>
        <v>1</v>
      </c>
      <c r="AC27" s="24">
        <f t="shared" si="3"/>
        <v>1</v>
      </c>
      <c r="AD27" s="24">
        <f t="shared" si="16"/>
        <v>0</v>
      </c>
      <c r="AE27" s="24">
        <f t="shared" si="17"/>
        <v>3</v>
      </c>
      <c r="AF27" s="24">
        <f t="shared" si="5"/>
        <v>-1</v>
      </c>
      <c r="AG27" s="24">
        <f t="shared" si="6"/>
        <v>1</v>
      </c>
      <c r="AH27" s="24">
        <f t="shared" si="7"/>
        <v>1</v>
      </c>
      <c r="AI27" s="13">
        <f t="shared" si="18"/>
        <v>2</v>
      </c>
    </row>
    <row r="28" spans="1:35" ht="15.75" customHeight="1" thickBot="1" x14ac:dyDescent="0.3">
      <c r="A28" s="3">
        <v>26</v>
      </c>
      <c r="B28" s="23">
        <v>1</v>
      </c>
      <c r="C28" s="23"/>
      <c r="D28" s="10">
        <v>31</v>
      </c>
      <c r="E28" s="1" t="str">
        <f t="shared" si="0"/>
        <v>Q</v>
      </c>
      <c r="F28" s="10">
        <v>11</v>
      </c>
      <c r="G28" s="23"/>
      <c r="H28" s="24">
        <f t="shared" si="8"/>
        <v>1</v>
      </c>
      <c r="I28" s="24">
        <f t="shared" si="9"/>
        <v>1</v>
      </c>
      <c r="J28" s="24">
        <f t="shared" si="10"/>
        <v>0</v>
      </c>
      <c r="K28" s="24">
        <f t="shared" si="11"/>
        <v>3</v>
      </c>
      <c r="L28" s="24">
        <f t="shared" si="12"/>
        <v>-2</v>
      </c>
      <c r="M28" s="24">
        <f t="shared" si="13"/>
        <v>1</v>
      </c>
      <c r="N28" s="24">
        <f t="shared" si="14"/>
        <v>1</v>
      </c>
      <c r="O28" s="13">
        <f t="shared" si="15"/>
        <v>1</v>
      </c>
      <c r="U28" s="3">
        <v>26</v>
      </c>
      <c r="V28" s="48">
        <v>2</v>
      </c>
      <c r="W28" s="4">
        <v>21</v>
      </c>
      <c r="X28" s="47" t="s">
        <v>5</v>
      </c>
      <c r="Y28" s="4">
        <v>1</v>
      </c>
      <c r="Z28" s="44">
        <v>2</v>
      </c>
      <c r="AA28" s="26"/>
      <c r="AB28" s="24">
        <f t="shared" si="2"/>
        <v>1</v>
      </c>
      <c r="AC28" s="24">
        <f t="shared" si="3"/>
        <v>1</v>
      </c>
      <c r="AD28" s="24">
        <f t="shared" si="16"/>
        <v>0</v>
      </c>
      <c r="AE28" s="24">
        <f t="shared" si="17"/>
        <v>3</v>
      </c>
      <c r="AF28" s="24">
        <f t="shared" si="5"/>
        <v>-1</v>
      </c>
      <c r="AG28" s="24">
        <f t="shared" si="6"/>
        <v>1</v>
      </c>
      <c r="AH28" s="24">
        <f t="shared" si="7"/>
        <v>1</v>
      </c>
      <c r="AI28" s="13">
        <f t="shared" si="18"/>
        <v>2</v>
      </c>
    </row>
    <row r="29" spans="1:35" ht="15.75" customHeight="1" thickBot="1" x14ac:dyDescent="0.3">
      <c r="A29" s="9">
        <v>27</v>
      </c>
      <c r="B29" s="23">
        <v>1</v>
      </c>
      <c r="C29" s="23"/>
      <c r="D29" s="23">
        <v>10</v>
      </c>
      <c r="E29" s="1" t="str">
        <f t="shared" si="0"/>
        <v>P</v>
      </c>
      <c r="F29" s="23">
        <v>32</v>
      </c>
      <c r="G29" s="23"/>
      <c r="H29" s="24">
        <f t="shared" si="8"/>
        <v>1</v>
      </c>
      <c r="I29" s="24">
        <f t="shared" si="9"/>
        <v>1</v>
      </c>
      <c r="J29" s="24">
        <f t="shared" si="10"/>
        <v>0</v>
      </c>
      <c r="K29" s="24">
        <f t="shared" si="11"/>
        <v>3</v>
      </c>
      <c r="L29" s="24">
        <f t="shared" si="12"/>
        <v>-2</v>
      </c>
      <c r="M29" s="24">
        <f t="shared" si="13"/>
        <v>1</v>
      </c>
      <c r="N29" s="24">
        <f t="shared" si="14"/>
        <v>1</v>
      </c>
      <c r="O29" s="13">
        <f t="shared" si="15"/>
        <v>1</v>
      </c>
      <c r="U29" s="9">
        <v>27</v>
      </c>
      <c r="V29" s="48">
        <v>1</v>
      </c>
      <c r="W29" s="6">
        <v>50</v>
      </c>
      <c r="X29" s="47" t="s">
        <v>4</v>
      </c>
      <c r="Y29" s="6">
        <v>22</v>
      </c>
      <c r="Z29" s="44">
        <v>1</v>
      </c>
      <c r="AA29" s="26"/>
      <c r="AB29" s="24">
        <f t="shared" si="2"/>
        <v>1</v>
      </c>
      <c r="AC29" s="24">
        <f t="shared" si="3"/>
        <v>1</v>
      </c>
      <c r="AD29" s="24">
        <f t="shared" si="16"/>
        <v>0</v>
      </c>
      <c r="AE29" s="24">
        <f t="shared" si="17"/>
        <v>3</v>
      </c>
      <c r="AF29" s="24">
        <f t="shared" si="5"/>
        <v>-2</v>
      </c>
      <c r="AG29" s="24">
        <f t="shared" si="6"/>
        <v>1</v>
      </c>
      <c r="AH29" s="24">
        <f t="shared" si="7"/>
        <v>1</v>
      </c>
      <c r="AI29" s="13">
        <f t="shared" si="18"/>
        <v>1</v>
      </c>
    </row>
    <row r="30" spans="1:35" ht="15.75" customHeight="1" thickBot="1" x14ac:dyDescent="0.3">
      <c r="A30" s="8">
        <v>28</v>
      </c>
      <c r="B30" s="23">
        <v>2</v>
      </c>
      <c r="C30" s="23"/>
      <c r="D30" s="23">
        <v>33</v>
      </c>
      <c r="E30" s="1" t="str">
        <f t="shared" si="0"/>
        <v>Q</v>
      </c>
      <c r="F30" s="23">
        <v>9</v>
      </c>
      <c r="G30" s="23"/>
      <c r="H30" s="24">
        <f t="shared" si="8"/>
        <v>1</v>
      </c>
      <c r="I30" s="24">
        <f t="shared" si="9"/>
        <v>1</v>
      </c>
      <c r="J30" s="24">
        <f t="shared" si="10"/>
        <v>0</v>
      </c>
      <c r="K30" s="24">
        <f t="shared" si="11"/>
        <v>3</v>
      </c>
      <c r="L30" s="24">
        <f t="shared" si="12"/>
        <v>-1</v>
      </c>
      <c r="M30" s="24">
        <f t="shared" si="13"/>
        <v>1</v>
      </c>
      <c r="N30" s="24">
        <f t="shared" si="14"/>
        <v>1</v>
      </c>
      <c r="O30" s="13">
        <f t="shared" si="15"/>
        <v>2</v>
      </c>
      <c r="U30" s="8">
        <v>28</v>
      </c>
      <c r="V30" s="48">
        <v>2</v>
      </c>
      <c r="W30" s="7">
        <v>23</v>
      </c>
      <c r="X30" s="47" t="s">
        <v>5</v>
      </c>
      <c r="Y30" s="7">
        <v>49</v>
      </c>
      <c r="Z30" s="44">
        <v>2</v>
      </c>
      <c r="AA30" s="26"/>
      <c r="AB30" s="24">
        <f t="shared" si="2"/>
        <v>1</v>
      </c>
      <c r="AC30" s="24">
        <f t="shared" si="3"/>
        <v>1</v>
      </c>
      <c r="AD30" s="24">
        <f t="shared" si="16"/>
        <v>0</v>
      </c>
      <c r="AE30" s="24">
        <f t="shared" si="17"/>
        <v>3</v>
      </c>
      <c r="AF30" s="24">
        <f t="shared" si="5"/>
        <v>-1</v>
      </c>
      <c r="AG30" s="24">
        <f t="shared" si="6"/>
        <v>1</v>
      </c>
      <c r="AH30" s="24">
        <f t="shared" si="7"/>
        <v>1</v>
      </c>
      <c r="AI30" s="13">
        <f t="shared" si="18"/>
        <v>2</v>
      </c>
    </row>
    <row r="31" spans="1:35" ht="15.75" customHeight="1" thickBot="1" x14ac:dyDescent="0.3">
      <c r="A31" s="7">
        <v>29</v>
      </c>
      <c r="B31" s="23">
        <v>1</v>
      </c>
      <c r="C31" s="23"/>
      <c r="D31" s="23">
        <v>8</v>
      </c>
      <c r="E31" s="1" t="str">
        <f t="shared" si="0"/>
        <v>P</v>
      </c>
      <c r="F31" s="23">
        <v>34</v>
      </c>
      <c r="G31" s="23"/>
      <c r="H31" s="24">
        <f t="shared" si="8"/>
        <v>1</v>
      </c>
      <c r="I31" s="24">
        <f t="shared" si="9"/>
        <v>1</v>
      </c>
      <c r="J31" s="24">
        <f t="shared" si="10"/>
        <v>0</v>
      </c>
      <c r="K31" s="24">
        <f t="shared" si="11"/>
        <v>3</v>
      </c>
      <c r="L31" s="24">
        <f t="shared" si="12"/>
        <v>-2</v>
      </c>
      <c r="M31" s="24">
        <f t="shared" si="13"/>
        <v>1</v>
      </c>
      <c r="N31" s="24">
        <f t="shared" si="14"/>
        <v>1</v>
      </c>
      <c r="O31" s="13">
        <f t="shared" si="15"/>
        <v>1</v>
      </c>
      <c r="U31" s="7">
        <v>29</v>
      </c>
      <c r="V31" s="48">
        <v>1</v>
      </c>
      <c r="W31" s="8">
        <v>48</v>
      </c>
      <c r="X31" s="47" t="s">
        <v>4</v>
      </c>
      <c r="Y31" s="8">
        <v>24</v>
      </c>
      <c r="Z31" s="44">
        <v>1</v>
      </c>
      <c r="AA31" s="26"/>
      <c r="AB31" s="24">
        <f t="shared" si="2"/>
        <v>1</v>
      </c>
      <c r="AC31" s="24">
        <f t="shared" si="3"/>
        <v>1</v>
      </c>
      <c r="AD31" s="24">
        <f t="shared" si="16"/>
        <v>0</v>
      </c>
      <c r="AE31" s="24">
        <f t="shared" si="17"/>
        <v>3</v>
      </c>
      <c r="AF31" s="24">
        <f t="shared" si="5"/>
        <v>-2</v>
      </c>
      <c r="AG31" s="24">
        <f t="shared" si="6"/>
        <v>1</v>
      </c>
      <c r="AH31" s="24">
        <f t="shared" si="7"/>
        <v>1</v>
      </c>
      <c r="AI31" s="13">
        <f t="shared" si="18"/>
        <v>1</v>
      </c>
    </row>
    <row r="32" spans="1:35" ht="15.75" customHeight="1" thickBot="1" x14ac:dyDescent="0.3">
      <c r="A32" s="6">
        <v>30</v>
      </c>
      <c r="B32" s="23">
        <v>2</v>
      </c>
      <c r="C32" s="23"/>
      <c r="D32" s="23">
        <v>35</v>
      </c>
      <c r="E32" s="1" t="str">
        <f t="shared" si="0"/>
        <v>Q</v>
      </c>
      <c r="F32" s="23">
        <v>7</v>
      </c>
      <c r="G32" s="23"/>
      <c r="H32" s="24">
        <f t="shared" si="8"/>
        <v>1</v>
      </c>
      <c r="I32" s="24">
        <f t="shared" si="9"/>
        <v>1</v>
      </c>
      <c r="J32" s="24">
        <f t="shared" si="10"/>
        <v>0</v>
      </c>
      <c r="K32" s="24">
        <f t="shared" si="11"/>
        <v>3</v>
      </c>
      <c r="L32" s="24">
        <f t="shared" si="12"/>
        <v>-1</v>
      </c>
      <c r="M32" s="24">
        <f t="shared" si="13"/>
        <v>1</v>
      </c>
      <c r="N32" s="24">
        <f t="shared" si="14"/>
        <v>1</v>
      </c>
      <c r="O32" s="13">
        <f t="shared" si="15"/>
        <v>2</v>
      </c>
      <c r="U32" s="6">
        <v>30</v>
      </c>
      <c r="V32" s="48">
        <v>2</v>
      </c>
      <c r="W32" s="9">
        <v>25</v>
      </c>
      <c r="X32" s="47" t="s">
        <v>5</v>
      </c>
      <c r="Y32" s="9">
        <v>47</v>
      </c>
      <c r="Z32" s="44">
        <v>2</v>
      </c>
      <c r="AA32" s="26"/>
      <c r="AB32" s="24">
        <f t="shared" si="2"/>
        <v>1</v>
      </c>
      <c r="AC32" s="24">
        <f t="shared" si="3"/>
        <v>1</v>
      </c>
      <c r="AD32" s="24">
        <f t="shared" si="16"/>
        <v>0</v>
      </c>
      <c r="AE32" s="24">
        <f t="shared" si="17"/>
        <v>3</v>
      </c>
      <c r="AF32" s="24">
        <f t="shared" si="5"/>
        <v>-1</v>
      </c>
      <c r="AG32" s="24">
        <f t="shared" si="6"/>
        <v>1</v>
      </c>
      <c r="AH32" s="24">
        <f t="shared" si="7"/>
        <v>1</v>
      </c>
      <c r="AI32" s="13">
        <f t="shared" si="18"/>
        <v>2</v>
      </c>
    </row>
    <row r="33" spans="1:35" ht="15.75" customHeight="1" thickBot="1" x14ac:dyDescent="0.3">
      <c r="A33" s="5">
        <v>31</v>
      </c>
      <c r="B33" s="11">
        <v>2</v>
      </c>
      <c r="C33" s="11"/>
      <c r="D33" s="11">
        <v>12</v>
      </c>
      <c r="E33" s="2" t="str">
        <f t="shared" si="0"/>
        <v>P</v>
      </c>
      <c r="F33" s="11">
        <v>10</v>
      </c>
      <c r="G33" s="23"/>
      <c r="H33" s="24">
        <f t="shared" si="8"/>
        <v>1</v>
      </c>
      <c r="I33" s="24">
        <f t="shared" si="9"/>
        <v>1</v>
      </c>
      <c r="J33" s="24">
        <f t="shared" si="10"/>
        <v>0</v>
      </c>
      <c r="K33" s="24">
        <f t="shared" si="11"/>
        <v>3</v>
      </c>
      <c r="L33" s="24">
        <f t="shared" si="12"/>
        <v>-1</v>
      </c>
      <c r="M33" s="24">
        <f t="shared" si="13"/>
        <v>1</v>
      </c>
      <c r="N33" s="24">
        <f t="shared" si="14"/>
        <v>1</v>
      </c>
      <c r="O33" s="13">
        <f t="shared" si="15"/>
        <v>2</v>
      </c>
      <c r="U33" s="5">
        <v>31</v>
      </c>
      <c r="V33" s="48">
        <v>2</v>
      </c>
      <c r="W33" s="6">
        <v>22</v>
      </c>
      <c r="X33" s="46" t="s">
        <v>4</v>
      </c>
      <c r="Y33" s="6">
        <v>20</v>
      </c>
      <c r="Z33" s="43">
        <v>2</v>
      </c>
      <c r="AA33" s="26"/>
      <c r="AB33" s="24">
        <f t="shared" si="2"/>
        <v>1</v>
      </c>
      <c r="AC33" s="24">
        <f t="shared" si="3"/>
        <v>1</v>
      </c>
      <c r="AD33" s="24">
        <f t="shared" si="16"/>
        <v>0</v>
      </c>
      <c r="AE33" s="24">
        <f t="shared" si="17"/>
        <v>3</v>
      </c>
      <c r="AF33" s="24">
        <f t="shared" si="5"/>
        <v>-1</v>
      </c>
      <c r="AG33" s="24">
        <f t="shared" si="6"/>
        <v>1</v>
      </c>
      <c r="AH33" s="24">
        <f t="shared" si="7"/>
        <v>1</v>
      </c>
      <c r="AI33" s="13">
        <f t="shared" si="18"/>
        <v>2</v>
      </c>
    </row>
    <row r="34" spans="1:35" ht="15.75" customHeight="1" thickBot="1" x14ac:dyDescent="0.3">
      <c r="A34" s="6">
        <v>32</v>
      </c>
      <c r="B34" s="23">
        <v>2</v>
      </c>
      <c r="C34" s="23"/>
      <c r="D34" s="23">
        <v>9</v>
      </c>
      <c r="E34" s="1" t="str">
        <f t="shared" si="0"/>
        <v>Q</v>
      </c>
      <c r="F34" s="23">
        <v>13</v>
      </c>
      <c r="G34" s="23"/>
      <c r="H34" s="24">
        <f t="shared" si="8"/>
        <v>1</v>
      </c>
      <c r="I34" s="24">
        <f t="shared" si="9"/>
        <v>1</v>
      </c>
      <c r="J34" s="24">
        <f t="shared" si="10"/>
        <v>0</v>
      </c>
      <c r="K34" s="24">
        <f t="shared" si="11"/>
        <v>3</v>
      </c>
      <c r="L34" s="24">
        <f t="shared" si="12"/>
        <v>-1</v>
      </c>
      <c r="M34" s="24">
        <f t="shared" si="13"/>
        <v>1</v>
      </c>
      <c r="N34" s="24">
        <f t="shared" si="14"/>
        <v>1</v>
      </c>
      <c r="O34" s="13">
        <f t="shared" si="15"/>
        <v>2</v>
      </c>
      <c r="U34" s="6">
        <v>32</v>
      </c>
      <c r="V34" s="48">
        <v>1</v>
      </c>
      <c r="W34" s="7">
        <v>19</v>
      </c>
      <c r="X34" s="46" t="s">
        <v>5</v>
      </c>
      <c r="Y34" s="7">
        <v>23</v>
      </c>
      <c r="Z34" s="43">
        <v>1</v>
      </c>
      <c r="AA34" s="26"/>
      <c r="AB34" s="24">
        <f t="shared" si="2"/>
        <v>1</v>
      </c>
      <c r="AC34" s="24">
        <f t="shared" si="3"/>
        <v>1</v>
      </c>
      <c r="AD34" s="24">
        <f t="shared" si="16"/>
        <v>0</v>
      </c>
      <c r="AE34" s="24">
        <f t="shared" si="17"/>
        <v>3</v>
      </c>
      <c r="AF34" s="24">
        <f t="shared" si="5"/>
        <v>-2</v>
      </c>
      <c r="AG34" s="24">
        <f t="shared" si="6"/>
        <v>1</v>
      </c>
      <c r="AH34" s="24">
        <f t="shared" si="7"/>
        <v>1</v>
      </c>
      <c r="AI34" s="13">
        <f t="shared" si="18"/>
        <v>1</v>
      </c>
    </row>
    <row r="35" spans="1:35" ht="15.75" customHeight="1" thickBot="1" x14ac:dyDescent="0.3">
      <c r="A35" s="7">
        <v>33</v>
      </c>
      <c r="B35" s="23">
        <v>1</v>
      </c>
      <c r="C35" s="23"/>
      <c r="D35" s="23">
        <v>14</v>
      </c>
      <c r="E35" s="1" t="str">
        <f t="shared" ref="E35:E52" si="19">IF(D35/2 = ROUND(D35/2,0),REPT("P",1),REPT("Q",1))</f>
        <v>P</v>
      </c>
      <c r="F35" s="23">
        <v>8</v>
      </c>
      <c r="G35" s="23"/>
      <c r="H35" s="24">
        <f t="shared" si="8"/>
        <v>1</v>
      </c>
      <c r="I35" s="24">
        <f t="shared" si="9"/>
        <v>1</v>
      </c>
      <c r="J35" s="24">
        <f t="shared" si="10"/>
        <v>0</v>
      </c>
      <c r="K35" s="24">
        <f t="shared" si="11"/>
        <v>3</v>
      </c>
      <c r="L35" s="24">
        <f t="shared" si="12"/>
        <v>-2</v>
      </c>
      <c r="M35" s="24">
        <f t="shared" si="13"/>
        <v>1</v>
      </c>
      <c r="N35" s="24">
        <f t="shared" si="14"/>
        <v>1</v>
      </c>
      <c r="O35" s="13">
        <f t="shared" si="15"/>
        <v>1</v>
      </c>
      <c r="U35" s="7">
        <v>33</v>
      </c>
      <c r="V35" s="48">
        <v>2</v>
      </c>
      <c r="W35" s="8">
        <v>24</v>
      </c>
      <c r="X35" s="46" t="s">
        <v>4</v>
      </c>
      <c r="Y35" s="8">
        <v>18</v>
      </c>
      <c r="Z35" s="43">
        <v>2</v>
      </c>
      <c r="AA35" s="26"/>
      <c r="AB35" s="24">
        <f t="shared" ref="AB35:AB52" si="20">COUNTIF($W$3:$W$52,U35)</f>
        <v>1</v>
      </c>
      <c r="AC35" s="24">
        <f t="shared" ref="AC35:AC52" si="21">COUNTIF($Y$3:$Y$52,U35)</f>
        <v>1</v>
      </c>
      <c r="AD35" s="24">
        <f t="shared" si="16"/>
        <v>0</v>
      </c>
      <c r="AE35" s="24">
        <f t="shared" si="17"/>
        <v>3</v>
      </c>
      <c r="AF35" s="24">
        <f t="shared" ref="AF35:AF66" si="22">V35-AE35</f>
        <v>-1</v>
      </c>
      <c r="AG35" s="24">
        <f t="shared" ref="AG35:AG52" si="23">COUNTIF($W$3:$W$52,U35)</f>
        <v>1</v>
      </c>
      <c r="AH35" s="24">
        <f t="shared" ref="AH35:AH52" si="24">COUNTIF($Y$3:$Y$52,U35)</f>
        <v>1</v>
      </c>
      <c r="AI35" s="13">
        <f t="shared" si="18"/>
        <v>2</v>
      </c>
    </row>
    <row r="36" spans="1:35" ht="15.75" customHeight="1" thickBot="1" x14ac:dyDescent="0.3">
      <c r="A36" s="8">
        <v>34</v>
      </c>
      <c r="B36" s="23">
        <v>2</v>
      </c>
      <c r="C36" s="23"/>
      <c r="D36" s="23">
        <v>7</v>
      </c>
      <c r="E36" s="1" t="str">
        <f t="shared" si="19"/>
        <v>Q</v>
      </c>
      <c r="F36" s="23">
        <v>15</v>
      </c>
      <c r="G36" s="23"/>
      <c r="H36" s="24">
        <f t="shared" si="8"/>
        <v>1</v>
      </c>
      <c r="I36" s="24">
        <f t="shared" si="9"/>
        <v>1</v>
      </c>
      <c r="J36" s="24">
        <f t="shared" si="10"/>
        <v>0</v>
      </c>
      <c r="K36" s="24">
        <f t="shared" si="11"/>
        <v>3</v>
      </c>
      <c r="L36" s="24">
        <f t="shared" si="12"/>
        <v>-1</v>
      </c>
      <c r="M36" s="24">
        <f t="shared" si="13"/>
        <v>1</v>
      </c>
      <c r="N36" s="24">
        <f t="shared" si="14"/>
        <v>1</v>
      </c>
      <c r="O36" s="13">
        <f t="shared" si="15"/>
        <v>2</v>
      </c>
      <c r="U36" s="8">
        <v>34</v>
      </c>
      <c r="V36" s="48">
        <v>1</v>
      </c>
      <c r="W36" s="9">
        <v>17</v>
      </c>
      <c r="X36" s="46" t="s">
        <v>5</v>
      </c>
      <c r="Y36" s="9">
        <v>25</v>
      </c>
      <c r="Z36" s="43">
        <v>1</v>
      </c>
      <c r="AA36" s="26"/>
      <c r="AB36" s="24">
        <f t="shared" si="20"/>
        <v>1</v>
      </c>
      <c r="AC36" s="24">
        <f t="shared" si="21"/>
        <v>1</v>
      </c>
      <c r="AD36" s="24">
        <f t="shared" si="16"/>
        <v>0</v>
      </c>
      <c r="AE36" s="24">
        <f t="shared" si="17"/>
        <v>3</v>
      </c>
      <c r="AF36" s="24">
        <f t="shared" si="22"/>
        <v>-2</v>
      </c>
      <c r="AG36" s="24">
        <f t="shared" si="23"/>
        <v>1</v>
      </c>
      <c r="AH36" s="24">
        <f t="shared" si="24"/>
        <v>1</v>
      </c>
      <c r="AI36" s="13">
        <f t="shared" si="18"/>
        <v>1</v>
      </c>
    </row>
    <row r="37" spans="1:35" ht="15.75" customHeight="1" thickBot="1" x14ac:dyDescent="0.3">
      <c r="A37" s="9">
        <v>35</v>
      </c>
      <c r="B37" s="23">
        <v>1</v>
      </c>
      <c r="C37" s="23"/>
      <c r="D37" s="23">
        <v>16</v>
      </c>
      <c r="E37" s="1" t="str">
        <f t="shared" si="19"/>
        <v>P</v>
      </c>
      <c r="F37" s="23">
        <v>6</v>
      </c>
      <c r="G37" s="10"/>
      <c r="H37" s="24">
        <f t="shared" si="8"/>
        <v>1</v>
      </c>
      <c r="I37" s="24">
        <f t="shared" si="9"/>
        <v>1</v>
      </c>
      <c r="J37" s="24">
        <f t="shared" si="10"/>
        <v>0</v>
      </c>
      <c r="K37" s="24">
        <f t="shared" si="11"/>
        <v>3</v>
      </c>
      <c r="L37" s="24">
        <f t="shared" si="12"/>
        <v>-2</v>
      </c>
      <c r="M37" s="24">
        <f t="shared" si="13"/>
        <v>1</v>
      </c>
      <c r="N37" s="24">
        <f t="shared" si="14"/>
        <v>1</v>
      </c>
      <c r="O37" s="13">
        <f t="shared" si="15"/>
        <v>1</v>
      </c>
      <c r="U37" s="9">
        <v>35</v>
      </c>
      <c r="V37" s="48">
        <v>2</v>
      </c>
      <c r="W37" s="3">
        <v>26</v>
      </c>
      <c r="X37" s="46" t="s">
        <v>4</v>
      </c>
      <c r="Y37" s="3">
        <v>16</v>
      </c>
      <c r="Z37" s="43">
        <v>2</v>
      </c>
      <c r="AA37" s="26"/>
      <c r="AB37" s="24">
        <f t="shared" si="20"/>
        <v>1</v>
      </c>
      <c r="AC37" s="24">
        <f t="shared" si="21"/>
        <v>1</v>
      </c>
      <c r="AD37" s="24">
        <f t="shared" si="16"/>
        <v>0</v>
      </c>
      <c r="AE37" s="24">
        <f t="shared" si="17"/>
        <v>3</v>
      </c>
      <c r="AF37" s="24">
        <f t="shared" si="22"/>
        <v>-1</v>
      </c>
      <c r="AG37" s="24">
        <f t="shared" si="23"/>
        <v>1</v>
      </c>
      <c r="AH37" s="24">
        <f t="shared" si="24"/>
        <v>1</v>
      </c>
      <c r="AI37" s="13">
        <f t="shared" si="18"/>
        <v>2</v>
      </c>
    </row>
    <row r="38" spans="1:35" ht="15.75" customHeight="1" thickBot="1" x14ac:dyDescent="0.3">
      <c r="A38" s="3">
        <v>36</v>
      </c>
      <c r="B38" s="23">
        <v>1</v>
      </c>
      <c r="C38" s="23"/>
      <c r="D38" s="10">
        <v>21</v>
      </c>
      <c r="E38" s="1" t="str">
        <f t="shared" si="19"/>
        <v>Q</v>
      </c>
      <c r="F38" s="10">
        <v>1</v>
      </c>
      <c r="G38" s="23"/>
      <c r="H38" s="24">
        <f t="shared" si="8"/>
        <v>1</v>
      </c>
      <c r="I38" s="24">
        <f t="shared" si="9"/>
        <v>1</v>
      </c>
      <c r="J38" s="24">
        <f t="shared" si="10"/>
        <v>0</v>
      </c>
      <c r="K38" s="24">
        <f t="shared" si="11"/>
        <v>3</v>
      </c>
      <c r="L38" s="24">
        <f t="shared" si="12"/>
        <v>-2</v>
      </c>
      <c r="M38" s="24">
        <f t="shared" si="13"/>
        <v>1</v>
      </c>
      <c r="N38" s="24">
        <f t="shared" si="14"/>
        <v>1</v>
      </c>
      <c r="O38" s="13">
        <f t="shared" si="15"/>
        <v>1</v>
      </c>
      <c r="U38" s="3">
        <v>36</v>
      </c>
      <c r="V38" s="48">
        <v>1</v>
      </c>
      <c r="W38" s="4">
        <v>31</v>
      </c>
      <c r="X38" s="47" t="s">
        <v>5</v>
      </c>
      <c r="Y38" s="4">
        <v>11</v>
      </c>
      <c r="Z38" s="44">
        <v>1</v>
      </c>
      <c r="AA38" s="26"/>
      <c r="AB38" s="24">
        <f t="shared" si="20"/>
        <v>1</v>
      </c>
      <c r="AC38" s="24">
        <f t="shared" si="21"/>
        <v>1</v>
      </c>
      <c r="AD38" s="24">
        <f t="shared" si="16"/>
        <v>0</v>
      </c>
      <c r="AE38" s="24">
        <f t="shared" si="17"/>
        <v>3</v>
      </c>
      <c r="AF38" s="24">
        <f t="shared" si="22"/>
        <v>-2</v>
      </c>
      <c r="AG38" s="24">
        <f t="shared" si="23"/>
        <v>1</v>
      </c>
      <c r="AH38" s="24">
        <f t="shared" si="24"/>
        <v>1</v>
      </c>
      <c r="AI38" s="13">
        <f t="shared" si="18"/>
        <v>1</v>
      </c>
    </row>
    <row r="39" spans="1:35" ht="15.75" customHeight="1" thickBot="1" x14ac:dyDescent="0.3">
      <c r="A39" s="9">
        <v>37</v>
      </c>
      <c r="B39" s="23">
        <v>2</v>
      </c>
      <c r="C39" s="23"/>
      <c r="D39" s="23">
        <v>50</v>
      </c>
      <c r="E39" s="1" t="str">
        <f t="shared" si="19"/>
        <v>P</v>
      </c>
      <c r="F39" s="23">
        <v>22</v>
      </c>
      <c r="G39" s="23"/>
      <c r="H39" s="24">
        <f t="shared" si="8"/>
        <v>1</v>
      </c>
      <c r="I39" s="24">
        <f t="shared" si="9"/>
        <v>1</v>
      </c>
      <c r="J39" s="24">
        <f t="shared" si="10"/>
        <v>0</v>
      </c>
      <c r="K39" s="24">
        <f t="shared" si="11"/>
        <v>3</v>
      </c>
      <c r="L39" s="24">
        <f t="shared" si="12"/>
        <v>-1</v>
      </c>
      <c r="M39" s="24">
        <f t="shared" si="13"/>
        <v>1</v>
      </c>
      <c r="N39" s="24">
        <f t="shared" si="14"/>
        <v>1</v>
      </c>
      <c r="O39" s="13">
        <f t="shared" si="15"/>
        <v>2</v>
      </c>
      <c r="U39" s="9">
        <v>37</v>
      </c>
      <c r="V39" s="48">
        <v>2</v>
      </c>
      <c r="W39" s="6">
        <v>10</v>
      </c>
      <c r="X39" s="47" t="s">
        <v>4</v>
      </c>
      <c r="Y39" s="6">
        <v>32</v>
      </c>
      <c r="Z39" s="44">
        <v>2</v>
      </c>
      <c r="AA39" s="26"/>
      <c r="AB39" s="24">
        <f t="shared" si="20"/>
        <v>1</v>
      </c>
      <c r="AC39" s="24">
        <f t="shared" si="21"/>
        <v>1</v>
      </c>
      <c r="AD39" s="24">
        <f t="shared" si="16"/>
        <v>0</v>
      </c>
      <c r="AE39" s="24">
        <f t="shared" si="17"/>
        <v>3</v>
      </c>
      <c r="AF39" s="24">
        <f t="shared" si="22"/>
        <v>-1</v>
      </c>
      <c r="AG39" s="24">
        <f t="shared" si="23"/>
        <v>1</v>
      </c>
      <c r="AH39" s="24">
        <f t="shared" si="24"/>
        <v>1</v>
      </c>
      <c r="AI39" s="13">
        <f t="shared" si="18"/>
        <v>2</v>
      </c>
    </row>
    <row r="40" spans="1:35" ht="15.75" customHeight="1" thickBot="1" x14ac:dyDescent="0.3">
      <c r="A40" s="8">
        <v>38</v>
      </c>
      <c r="B40" s="23">
        <v>1</v>
      </c>
      <c r="C40" s="23"/>
      <c r="D40" s="23">
        <v>23</v>
      </c>
      <c r="E40" s="1" t="str">
        <f t="shared" si="19"/>
        <v>Q</v>
      </c>
      <c r="F40" s="23">
        <v>49</v>
      </c>
      <c r="G40" s="23"/>
      <c r="H40" s="24">
        <f t="shared" si="8"/>
        <v>1</v>
      </c>
      <c r="I40" s="24">
        <f t="shared" si="9"/>
        <v>1</v>
      </c>
      <c r="J40" s="24">
        <f t="shared" si="10"/>
        <v>0</v>
      </c>
      <c r="K40" s="24">
        <f t="shared" si="11"/>
        <v>3</v>
      </c>
      <c r="L40" s="24">
        <f t="shared" si="12"/>
        <v>-2</v>
      </c>
      <c r="M40" s="24">
        <f t="shared" si="13"/>
        <v>1</v>
      </c>
      <c r="N40" s="24">
        <f t="shared" si="14"/>
        <v>1</v>
      </c>
      <c r="O40" s="13">
        <f t="shared" si="15"/>
        <v>1</v>
      </c>
      <c r="U40" s="8">
        <v>38</v>
      </c>
      <c r="V40" s="48">
        <v>1</v>
      </c>
      <c r="W40" s="7">
        <v>33</v>
      </c>
      <c r="X40" s="47" t="s">
        <v>5</v>
      </c>
      <c r="Y40" s="7">
        <v>9</v>
      </c>
      <c r="Z40" s="44">
        <v>1</v>
      </c>
      <c r="AA40" s="26"/>
      <c r="AB40" s="24">
        <f t="shared" si="20"/>
        <v>1</v>
      </c>
      <c r="AC40" s="24">
        <f t="shared" si="21"/>
        <v>1</v>
      </c>
      <c r="AD40" s="24">
        <f t="shared" si="16"/>
        <v>0</v>
      </c>
      <c r="AE40" s="24">
        <f t="shared" si="17"/>
        <v>3</v>
      </c>
      <c r="AF40" s="24">
        <f t="shared" si="22"/>
        <v>-2</v>
      </c>
      <c r="AG40" s="24">
        <f t="shared" si="23"/>
        <v>1</v>
      </c>
      <c r="AH40" s="24">
        <f t="shared" si="24"/>
        <v>1</v>
      </c>
      <c r="AI40" s="13">
        <f t="shared" si="18"/>
        <v>1</v>
      </c>
    </row>
    <row r="41" spans="1:35" ht="15.75" customHeight="1" thickBot="1" x14ac:dyDescent="0.3">
      <c r="A41" s="7">
        <v>39</v>
      </c>
      <c r="B41" s="23">
        <v>2</v>
      </c>
      <c r="C41" s="23"/>
      <c r="D41" s="23">
        <v>48</v>
      </c>
      <c r="E41" s="1" t="str">
        <f t="shared" si="19"/>
        <v>P</v>
      </c>
      <c r="F41" s="23">
        <v>24</v>
      </c>
      <c r="G41" s="23"/>
      <c r="H41" s="24">
        <f t="shared" si="8"/>
        <v>1</v>
      </c>
      <c r="I41" s="24">
        <f t="shared" si="9"/>
        <v>1</v>
      </c>
      <c r="J41" s="24">
        <f t="shared" si="10"/>
        <v>0</v>
      </c>
      <c r="K41" s="24">
        <f t="shared" si="11"/>
        <v>3</v>
      </c>
      <c r="L41" s="24">
        <f t="shared" si="12"/>
        <v>-1</v>
      </c>
      <c r="M41" s="24">
        <f t="shared" si="13"/>
        <v>1</v>
      </c>
      <c r="N41" s="24">
        <f t="shared" si="14"/>
        <v>1</v>
      </c>
      <c r="O41" s="13">
        <f t="shared" si="15"/>
        <v>2</v>
      </c>
      <c r="U41" s="7">
        <v>39</v>
      </c>
      <c r="V41" s="48">
        <v>2</v>
      </c>
      <c r="W41" s="8">
        <v>8</v>
      </c>
      <c r="X41" s="47" t="s">
        <v>4</v>
      </c>
      <c r="Y41" s="8">
        <v>34</v>
      </c>
      <c r="Z41" s="44">
        <v>2</v>
      </c>
      <c r="AA41" s="26"/>
      <c r="AB41" s="24">
        <f t="shared" si="20"/>
        <v>1</v>
      </c>
      <c r="AC41" s="24">
        <f t="shared" si="21"/>
        <v>1</v>
      </c>
      <c r="AD41" s="24">
        <f t="shared" si="16"/>
        <v>0</v>
      </c>
      <c r="AE41" s="24">
        <f t="shared" si="17"/>
        <v>3</v>
      </c>
      <c r="AF41" s="24">
        <f t="shared" si="22"/>
        <v>-1</v>
      </c>
      <c r="AG41" s="24">
        <f t="shared" si="23"/>
        <v>1</v>
      </c>
      <c r="AH41" s="24">
        <f t="shared" si="24"/>
        <v>1</v>
      </c>
      <c r="AI41" s="13">
        <f t="shared" si="18"/>
        <v>2</v>
      </c>
    </row>
    <row r="42" spans="1:35" ht="15.75" customHeight="1" thickBot="1" x14ac:dyDescent="0.3">
      <c r="A42" s="6">
        <v>40</v>
      </c>
      <c r="B42" s="23">
        <v>1</v>
      </c>
      <c r="C42" s="23"/>
      <c r="D42" s="23">
        <v>25</v>
      </c>
      <c r="E42" s="1" t="str">
        <f t="shared" si="19"/>
        <v>Q</v>
      </c>
      <c r="F42" s="23">
        <v>47</v>
      </c>
      <c r="G42" s="23"/>
      <c r="H42" s="24">
        <f t="shared" si="8"/>
        <v>1</v>
      </c>
      <c r="I42" s="24">
        <f t="shared" si="9"/>
        <v>1</v>
      </c>
      <c r="J42" s="24">
        <f t="shared" si="10"/>
        <v>0</v>
      </c>
      <c r="K42" s="24">
        <f t="shared" si="11"/>
        <v>3</v>
      </c>
      <c r="L42" s="24">
        <f t="shared" si="12"/>
        <v>-2</v>
      </c>
      <c r="M42" s="24">
        <f t="shared" si="13"/>
        <v>1</v>
      </c>
      <c r="N42" s="24">
        <f t="shared" si="14"/>
        <v>1</v>
      </c>
      <c r="O42" s="13">
        <f t="shared" si="15"/>
        <v>1</v>
      </c>
      <c r="U42" s="6">
        <v>40</v>
      </c>
      <c r="V42" s="48">
        <v>1</v>
      </c>
      <c r="W42" s="9">
        <v>35</v>
      </c>
      <c r="X42" s="47" t="s">
        <v>5</v>
      </c>
      <c r="Y42" s="9">
        <v>7</v>
      </c>
      <c r="Z42" s="44">
        <v>1</v>
      </c>
      <c r="AA42" s="26"/>
      <c r="AB42" s="24">
        <f t="shared" si="20"/>
        <v>1</v>
      </c>
      <c r="AC42" s="24">
        <f t="shared" si="21"/>
        <v>1</v>
      </c>
      <c r="AD42" s="24">
        <f t="shared" si="16"/>
        <v>0</v>
      </c>
      <c r="AE42" s="24">
        <f t="shared" si="17"/>
        <v>3</v>
      </c>
      <c r="AF42" s="24">
        <f t="shared" si="22"/>
        <v>-2</v>
      </c>
      <c r="AG42" s="24">
        <f t="shared" si="23"/>
        <v>1</v>
      </c>
      <c r="AH42" s="24">
        <f t="shared" si="24"/>
        <v>1</v>
      </c>
      <c r="AI42" s="13">
        <f t="shared" si="18"/>
        <v>1</v>
      </c>
    </row>
    <row r="43" spans="1:35" ht="15.75" customHeight="1" thickBot="1" x14ac:dyDescent="0.3">
      <c r="A43" s="5">
        <v>41</v>
      </c>
      <c r="B43" s="11">
        <v>3</v>
      </c>
      <c r="C43" s="11"/>
      <c r="D43" s="11">
        <v>2</v>
      </c>
      <c r="E43" s="2" t="str">
        <f t="shared" si="19"/>
        <v>P</v>
      </c>
      <c r="F43" s="11">
        <v>50</v>
      </c>
      <c r="G43" s="23"/>
      <c r="H43" s="24">
        <f t="shared" si="8"/>
        <v>1</v>
      </c>
      <c r="I43" s="24">
        <f t="shared" si="9"/>
        <v>1</v>
      </c>
      <c r="J43" s="24">
        <f t="shared" si="10"/>
        <v>0</v>
      </c>
      <c r="K43" s="24">
        <f t="shared" si="11"/>
        <v>3</v>
      </c>
      <c r="L43" s="24">
        <f t="shared" si="12"/>
        <v>0</v>
      </c>
      <c r="M43" s="24">
        <f t="shared" si="13"/>
        <v>1</v>
      </c>
      <c r="N43" s="24">
        <f t="shared" si="14"/>
        <v>1</v>
      </c>
      <c r="O43" s="13">
        <f t="shared" si="15"/>
        <v>3</v>
      </c>
      <c r="U43" s="5">
        <v>41</v>
      </c>
      <c r="V43" s="48">
        <v>2</v>
      </c>
      <c r="W43" s="6">
        <v>32</v>
      </c>
      <c r="X43" s="46" t="s">
        <v>4</v>
      </c>
      <c r="Y43" s="6">
        <v>30</v>
      </c>
      <c r="Z43" s="43">
        <v>2</v>
      </c>
      <c r="AA43" s="26"/>
      <c r="AB43" s="24">
        <f t="shared" si="20"/>
        <v>1</v>
      </c>
      <c r="AC43" s="24">
        <f t="shared" si="21"/>
        <v>1</v>
      </c>
      <c r="AD43" s="24">
        <f t="shared" si="16"/>
        <v>0</v>
      </c>
      <c r="AE43" s="24">
        <f t="shared" si="17"/>
        <v>3</v>
      </c>
      <c r="AF43" s="24">
        <f t="shared" si="22"/>
        <v>-1</v>
      </c>
      <c r="AG43" s="24">
        <f t="shared" si="23"/>
        <v>1</v>
      </c>
      <c r="AH43" s="24">
        <f t="shared" si="24"/>
        <v>1</v>
      </c>
      <c r="AI43" s="13">
        <f t="shared" si="18"/>
        <v>2</v>
      </c>
    </row>
    <row r="44" spans="1:35" ht="15.75" customHeight="1" thickBot="1" x14ac:dyDescent="0.3">
      <c r="A44" s="6">
        <v>42</v>
      </c>
      <c r="B44" s="23">
        <v>2</v>
      </c>
      <c r="C44" s="23"/>
      <c r="D44" s="23">
        <v>49</v>
      </c>
      <c r="E44" s="1" t="str">
        <f t="shared" si="19"/>
        <v>Q</v>
      </c>
      <c r="F44" s="23">
        <v>3</v>
      </c>
      <c r="G44" s="23"/>
      <c r="H44" s="24">
        <f t="shared" si="8"/>
        <v>1</v>
      </c>
      <c r="I44" s="24">
        <f t="shared" si="9"/>
        <v>1</v>
      </c>
      <c r="J44" s="24">
        <f t="shared" si="10"/>
        <v>0</v>
      </c>
      <c r="K44" s="24">
        <f t="shared" si="11"/>
        <v>3</v>
      </c>
      <c r="L44" s="24">
        <f t="shared" si="12"/>
        <v>-1</v>
      </c>
      <c r="M44" s="24">
        <f t="shared" si="13"/>
        <v>1</v>
      </c>
      <c r="N44" s="24">
        <f t="shared" si="14"/>
        <v>1</v>
      </c>
      <c r="O44" s="13">
        <f t="shared" si="15"/>
        <v>2</v>
      </c>
      <c r="U44" s="6">
        <v>42</v>
      </c>
      <c r="V44" s="48">
        <v>2</v>
      </c>
      <c r="W44" s="7">
        <v>29</v>
      </c>
      <c r="X44" s="46" t="s">
        <v>5</v>
      </c>
      <c r="Y44" s="7">
        <v>33</v>
      </c>
      <c r="Z44" s="43">
        <v>2</v>
      </c>
      <c r="AA44" s="26"/>
      <c r="AB44" s="24">
        <f t="shared" si="20"/>
        <v>1</v>
      </c>
      <c r="AC44" s="24">
        <f t="shared" si="21"/>
        <v>1</v>
      </c>
      <c r="AD44" s="24">
        <f t="shared" si="16"/>
        <v>0</v>
      </c>
      <c r="AE44" s="24">
        <f t="shared" si="17"/>
        <v>3</v>
      </c>
      <c r="AF44" s="24">
        <f t="shared" si="22"/>
        <v>-1</v>
      </c>
      <c r="AG44" s="24">
        <f t="shared" si="23"/>
        <v>1</v>
      </c>
      <c r="AH44" s="24">
        <f t="shared" si="24"/>
        <v>1</v>
      </c>
      <c r="AI44" s="13">
        <f t="shared" si="18"/>
        <v>2</v>
      </c>
    </row>
    <row r="45" spans="1:35" ht="15.75" customHeight="1" thickBot="1" x14ac:dyDescent="0.3">
      <c r="A45" s="7">
        <v>43</v>
      </c>
      <c r="B45" s="23">
        <v>1</v>
      </c>
      <c r="C45" s="23"/>
      <c r="D45" s="23">
        <v>4</v>
      </c>
      <c r="E45" s="1" t="str">
        <f t="shared" si="19"/>
        <v>P</v>
      </c>
      <c r="F45" s="23">
        <v>48</v>
      </c>
      <c r="G45" s="23"/>
      <c r="H45" s="24">
        <f t="shared" si="8"/>
        <v>1</v>
      </c>
      <c r="I45" s="24">
        <f t="shared" si="9"/>
        <v>1</v>
      </c>
      <c r="J45" s="24">
        <f t="shared" si="10"/>
        <v>0</v>
      </c>
      <c r="K45" s="24">
        <f t="shared" si="11"/>
        <v>3</v>
      </c>
      <c r="L45" s="24">
        <f t="shared" si="12"/>
        <v>-2</v>
      </c>
      <c r="M45" s="24">
        <f t="shared" si="13"/>
        <v>1</v>
      </c>
      <c r="N45" s="24">
        <f t="shared" si="14"/>
        <v>1</v>
      </c>
      <c r="O45" s="13">
        <f t="shared" si="15"/>
        <v>1</v>
      </c>
      <c r="U45" s="7">
        <v>43</v>
      </c>
      <c r="V45" s="48">
        <v>1</v>
      </c>
      <c r="W45" s="8">
        <v>34</v>
      </c>
      <c r="X45" s="46" t="s">
        <v>4</v>
      </c>
      <c r="Y45" s="8">
        <v>28</v>
      </c>
      <c r="Z45" s="43">
        <v>1</v>
      </c>
      <c r="AA45" s="26"/>
      <c r="AB45" s="24">
        <f t="shared" si="20"/>
        <v>1</v>
      </c>
      <c r="AC45" s="24">
        <f t="shared" si="21"/>
        <v>1</v>
      </c>
      <c r="AD45" s="24">
        <f t="shared" si="16"/>
        <v>0</v>
      </c>
      <c r="AE45" s="24">
        <f t="shared" si="17"/>
        <v>3</v>
      </c>
      <c r="AF45" s="24">
        <f t="shared" si="22"/>
        <v>-2</v>
      </c>
      <c r="AG45" s="24">
        <f t="shared" si="23"/>
        <v>1</v>
      </c>
      <c r="AH45" s="24">
        <f t="shared" si="24"/>
        <v>1</v>
      </c>
      <c r="AI45" s="13">
        <f t="shared" si="18"/>
        <v>1</v>
      </c>
    </row>
    <row r="46" spans="1:35" ht="15.75" customHeight="1" thickBot="1" x14ac:dyDescent="0.3">
      <c r="A46" s="8">
        <v>44</v>
      </c>
      <c r="B46" s="23">
        <v>2</v>
      </c>
      <c r="C46" s="23"/>
      <c r="D46" s="23">
        <v>47</v>
      </c>
      <c r="E46" s="1" t="str">
        <f t="shared" si="19"/>
        <v>Q</v>
      </c>
      <c r="F46" s="23">
        <v>5</v>
      </c>
      <c r="G46" s="23"/>
      <c r="H46" s="24">
        <f t="shared" si="8"/>
        <v>1</v>
      </c>
      <c r="I46" s="24">
        <f t="shared" si="9"/>
        <v>1</v>
      </c>
      <c r="J46" s="24">
        <f t="shared" si="10"/>
        <v>0</v>
      </c>
      <c r="K46" s="24">
        <f t="shared" si="11"/>
        <v>3</v>
      </c>
      <c r="L46" s="24">
        <f t="shared" si="12"/>
        <v>-1</v>
      </c>
      <c r="M46" s="24">
        <f t="shared" si="13"/>
        <v>1</v>
      </c>
      <c r="N46" s="24">
        <f t="shared" si="14"/>
        <v>1</v>
      </c>
      <c r="O46" s="13">
        <f t="shared" si="15"/>
        <v>2</v>
      </c>
      <c r="U46" s="8">
        <v>44</v>
      </c>
      <c r="V46" s="48">
        <v>2</v>
      </c>
      <c r="W46" s="9">
        <v>27</v>
      </c>
      <c r="X46" s="46" t="s">
        <v>5</v>
      </c>
      <c r="Y46" s="9">
        <v>35</v>
      </c>
      <c r="Z46" s="43">
        <v>2</v>
      </c>
      <c r="AA46" s="26"/>
      <c r="AB46" s="24">
        <f t="shared" si="20"/>
        <v>1</v>
      </c>
      <c r="AC46" s="24">
        <f t="shared" si="21"/>
        <v>1</v>
      </c>
      <c r="AD46" s="24">
        <f t="shared" si="16"/>
        <v>0</v>
      </c>
      <c r="AE46" s="24">
        <f t="shared" si="17"/>
        <v>3</v>
      </c>
      <c r="AF46" s="24">
        <f t="shared" si="22"/>
        <v>-1</v>
      </c>
      <c r="AG46" s="24">
        <f t="shared" si="23"/>
        <v>1</v>
      </c>
      <c r="AH46" s="24">
        <f t="shared" si="24"/>
        <v>1</v>
      </c>
      <c r="AI46" s="13">
        <f t="shared" si="18"/>
        <v>2</v>
      </c>
    </row>
    <row r="47" spans="1:35" ht="15.75" customHeight="1" thickBot="1" x14ac:dyDescent="0.3">
      <c r="A47" s="9">
        <v>45</v>
      </c>
      <c r="B47" s="23">
        <v>1</v>
      </c>
      <c r="C47" s="23"/>
      <c r="D47" s="23">
        <v>6</v>
      </c>
      <c r="E47" s="1" t="str">
        <f t="shared" si="19"/>
        <v>P</v>
      </c>
      <c r="F47" s="23">
        <v>46</v>
      </c>
      <c r="G47" s="10"/>
      <c r="H47" s="24">
        <f t="shared" si="8"/>
        <v>1</v>
      </c>
      <c r="I47" s="24">
        <f t="shared" si="9"/>
        <v>1</v>
      </c>
      <c r="J47" s="24">
        <f t="shared" si="10"/>
        <v>0</v>
      </c>
      <c r="K47" s="24">
        <f t="shared" si="11"/>
        <v>3</v>
      </c>
      <c r="L47" s="24">
        <f t="shared" si="12"/>
        <v>-2</v>
      </c>
      <c r="M47" s="24">
        <f t="shared" si="13"/>
        <v>1</v>
      </c>
      <c r="N47" s="24">
        <f t="shared" si="14"/>
        <v>1</v>
      </c>
      <c r="O47" s="13">
        <f t="shared" si="15"/>
        <v>1</v>
      </c>
      <c r="U47" s="9">
        <v>45</v>
      </c>
      <c r="V47" s="48">
        <v>1</v>
      </c>
      <c r="W47" s="3">
        <v>36</v>
      </c>
      <c r="X47" s="46" t="s">
        <v>4</v>
      </c>
      <c r="Y47" s="3">
        <v>26</v>
      </c>
      <c r="Z47" s="43">
        <v>1</v>
      </c>
      <c r="AA47" s="26"/>
      <c r="AB47" s="24">
        <f t="shared" si="20"/>
        <v>1</v>
      </c>
      <c r="AC47" s="24">
        <f t="shared" si="21"/>
        <v>1</v>
      </c>
      <c r="AD47" s="24">
        <f t="shared" si="16"/>
        <v>0</v>
      </c>
      <c r="AE47" s="24">
        <f t="shared" si="17"/>
        <v>3</v>
      </c>
      <c r="AF47" s="24">
        <f t="shared" si="22"/>
        <v>-2</v>
      </c>
      <c r="AG47" s="24">
        <f t="shared" si="23"/>
        <v>1</v>
      </c>
      <c r="AH47" s="24">
        <f t="shared" si="24"/>
        <v>1</v>
      </c>
      <c r="AI47" s="13">
        <f t="shared" si="18"/>
        <v>1</v>
      </c>
    </row>
    <row r="48" spans="1:35" ht="15.75" customHeight="1" thickBot="1" x14ac:dyDescent="0.3">
      <c r="A48" s="3">
        <v>46</v>
      </c>
      <c r="B48" s="23">
        <v>2</v>
      </c>
      <c r="C48" s="23"/>
      <c r="D48" s="10">
        <v>11</v>
      </c>
      <c r="E48" s="1" t="str">
        <f t="shared" si="19"/>
        <v>Q</v>
      </c>
      <c r="F48" s="10">
        <v>41</v>
      </c>
      <c r="G48" s="23"/>
      <c r="H48" s="24">
        <f t="shared" si="8"/>
        <v>1</v>
      </c>
      <c r="I48" s="24">
        <f t="shared" si="9"/>
        <v>1</v>
      </c>
      <c r="J48" s="24">
        <f t="shared" si="10"/>
        <v>0</v>
      </c>
      <c r="K48" s="24">
        <f t="shared" si="11"/>
        <v>3</v>
      </c>
      <c r="L48" s="24">
        <f t="shared" si="12"/>
        <v>-1</v>
      </c>
      <c r="M48" s="24">
        <f t="shared" si="13"/>
        <v>1</v>
      </c>
      <c r="N48" s="24">
        <f t="shared" si="14"/>
        <v>1</v>
      </c>
      <c r="O48" s="13">
        <f t="shared" si="15"/>
        <v>2</v>
      </c>
      <c r="U48" s="3">
        <v>46</v>
      </c>
      <c r="V48" s="48">
        <v>2</v>
      </c>
      <c r="W48" s="4">
        <v>41</v>
      </c>
      <c r="X48" s="47" t="s">
        <v>5</v>
      </c>
      <c r="Y48" s="4">
        <v>21</v>
      </c>
      <c r="Z48" s="44">
        <v>2</v>
      </c>
      <c r="AA48" s="26"/>
      <c r="AB48" s="24">
        <f t="shared" si="20"/>
        <v>1</v>
      </c>
      <c r="AC48" s="24">
        <f t="shared" si="21"/>
        <v>1</v>
      </c>
      <c r="AD48" s="24">
        <f t="shared" si="16"/>
        <v>0</v>
      </c>
      <c r="AE48" s="24">
        <f t="shared" si="17"/>
        <v>3</v>
      </c>
      <c r="AF48" s="24">
        <f t="shared" si="22"/>
        <v>-1</v>
      </c>
      <c r="AG48" s="24">
        <f t="shared" si="23"/>
        <v>1</v>
      </c>
      <c r="AH48" s="24">
        <f t="shared" si="24"/>
        <v>1</v>
      </c>
      <c r="AI48" s="13">
        <f t="shared" si="18"/>
        <v>2</v>
      </c>
    </row>
    <row r="49" spans="1:35" ht="15.75" customHeight="1" thickBot="1" x14ac:dyDescent="0.3">
      <c r="A49" s="9">
        <v>47</v>
      </c>
      <c r="B49" s="23">
        <v>1</v>
      </c>
      <c r="C49" s="23"/>
      <c r="D49" s="23">
        <v>40</v>
      </c>
      <c r="E49" s="1" t="str">
        <f t="shared" si="19"/>
        <v>P</v>
      </c>
      <c r="F49" s="23">
        <v>12</v>
      </c>
      <c r="G49" s="23"/>
      <c r="H49" s="24">
        <f t="shared" si="8"/>
        <v>1</v>
      </c>
      <c r="I49" s="24">
        <f t="shared" si="9"/>
        <v>1</v>
      </c>
      <c r="J49" s="24">
        <f t="shared" si="10"/>
        <v>0</v>
      </c>
      <c r="K49" s="24">
        <f t="shared" si="11"/>
        <v>3</v>
      </c>
      <c r="L49" s="24">
        <f t="shared" si="12"/>
        <v>-2</v>
      </c>
      <c r="M49" s="24">
        <f t="shared" si="13"/>
        <v>1</v>
      </c>
      <c r="N49" s="24">
        <f t="shared" si="14"/>
        <v>1</v>
      </c>
      <c r="O49" s="13">
        <f t="shared" si="15"/>
        <v>1</v>
      </c>
      <c r="U49" s="9">
        <v>47</v>
      </c>
      <c r="V49" s="48">
        <v>2</v>
      </c>
      <c r="W49" s="6">
        <v>20</v>
      </c>
      <c r="X49" s="47" t="s">
        <v>4</v>
      </c>
      <c r="Y49" s="6">
        <v>42</v>
      </c>
      <c r="Z49" s="44">
        <v>2</v>
      </c>
      <c r="AA49" s="26"/>
      <c r="AB49" s="24">
        <f t="shared" si="20"/>
        <v>1</v>
      </c>
      <c r="AC49" s="24">
        <f t="shared" si="21"/>
        <v>1</v>
      </c>
      <c r="AD49" s="24">
        <f t="shared" si="16"/>
        <v>0</v>
      </c>
      <c r="AE49" s="24">
        <f t="shared" si="17"/>
        <v>3</v>
      </c>
      <c r="AF49" s="24">
        <f t="shared" si="22"/>
        <v>-1</v>
      </c>
      <c r="AG49" s="24">
        <f t="shared" si="23"/>
        <v>1</v>
      </c>
      <c r="AH49" s="24">
        <f t="shared" si="24"/>
        <v>1</v>
      </c>
      <c r="AI49" s="13">
        <f t="shared" si="18"/>
        <v>2</v>
      </c>
    </row>
    <row r="50" spans="1:35" ht="15.75" customHeight="1" thickBot="1" x14ac:dyDescent="0.3">
      <c r="A50" s="8">
        <v>48</v>
      </c>
      <c r="B50" s="23">
        <v>2</v>
      </c>
      <c r="C50" s="23"/>
      <c r="D50" s="23">
        <v>13</v>
      </c>
      <c r="E50" s="1" t="str">
        <f t="shared" si="19"/>
        <v>Q</v>
      </c>
      <c r="F50" s="23">
        <v>39</v>
      </c>
      <c r="G50" s="23"/>
      <c r="H50" s="24">
        <f t="shared" si="8"/>
        <v>1</v>
      </c>
      <c r="I50" s="24">
        <f t="shared" si="9"/>
        <v>1</v>
      </c>
      <c r="J50" s="24">
        <f t="shared" si="10"/>
        <v>0</v>
      </c>
      <c r="K50" s="24">
        <f t="shared" si="11"/>
        <v>3</v>
      </c>
      <c r="L50" s="24">
        <f t="shared" si="12"/>
        <v>-1</v>
      </c>
      <c r="M50" s="24">
        <f t="shared" si="13"/>
        <v>1</v>
      </c>
      <c r="N50" s="24">
        <f t="shared" si="14"/>
        <v>1</v>
      </c>
      <c r="O50" s="13">
        <f t="shared" si="15"/>
        <v>2</v>
      </c>
      <c r="U50" s="8">
        <v>48</v>
      </c>
      <c r="V50" s="48">
        <v>1</v>
      </c>
      <c r="W50" s="7">
        <v>43</v>
      </c>
      <c r="X50" s="47" t="s">
        <v>5</v>
      </c>
      <c r="Y50" s="7">
        <v>19</v>
      </c>
      <c r="Z50" s="44">
        <v>1</v>
      </c>
      <c r="AA50" s="26"/>
      <c r="AB50" s="24">
        <f t="shared" si="20"/>
        <v>1</v>
      </c>
      <c r="AC50" s="24">
        <f t="shared" si="21"/>
        <v>1</v>
      </c>
      <c r="AD50" s="24">
        <f t="shared" si="16"/>
        <v>0</v>
      </c>
      <c r="AE50" s="24">
        <f t="shared" si="17"/>
        <v>3</v>
      </c>
      <c r="AF50" s="24">
        <f t="shared" si="22"/>
        <v>-2</v>
      </c>
      <c r="AG50" s="24">
        <f t="shared" si="23"/>
        <v>1</v>
      </c>
      <c r="AH50" s="24">
        <f t="shared" si="24"/>
        <v>1</v>
      </c>
      <c r="AI50" s="13">
        <f t="shared" si="18"/>
        <v>1</v>
      </c>
    </row>
    <row r="51" spans="1:35" ht="15.75" customHeight="1" thickBot="1" x14ac:dyDescent="0.3">
      <c r="A51" s="7">
        <v>49</v>
      </c>
      <c r="B51" s="23">
        <v>1</v>
      </c>
      <c r="C51" s="23"/>
      <c r="D51" s="23">
        <v>38</v>
      </c>
      <c r="E51" s="1" t="str">
        <f t="shared" si="19"/>
        <v>P</v>
      </c>
      <c r="F51" s="23">
        <v>14</v>
      </c>
      <c r="G51" s="23"/>
      <c r="H51" s="24">
        <f t="shared" si="8"/>
        <v>1</v>
      </c>
      <c r="I51" s="24">
        <f t="shared" si="9"/>
        <v>1</v>
      </c>
      <c r="J51" s="24">
        <f t="shared" si="10"/>
        <v>0</v>
      </c>
      <c r="K51" s="24">
        <f t="shared" si="11"/>
        <v>3</v>
      </c>
      <c r="L51" s="24">
        <f t="shared" si="12"/>
        <v>-2</v>
      </c>
      <c r="M51" s="24">
        <f t="shared" si="13"/>
        <v>1</v>
      </c>
      <c r="N51" s="24">
        <f t="shared" si="14"/>
        <v>1</v>
      </c>
      <c r="O51" s="13">
        <f t="shared" si="15"/>
        <v>1</v>
      </c>
      <c r="U51" s="7">
        <v>49</v>
      </c>
      <c r="V51" s="48">
        <v>2</v>
      </c>
      <c r="W51" s="8">
        <v>18</v>
      </c>
      <c r="X51" s="47" t="s">
        <v>4</v>
      </c>
      <c r="Y51" s="8">
        <v>44</v>
      </c>
      <c r="Z51" s="44">
        <v>2</v>
      </c>
      <c r="AA51" s="26"/>
      <c r="AB51" s="24">
        <f t="shared" si="20"/>
        <v>1</v>
      </c>
      <c r="AC51" s="24">
        <f t="shared" si="21"/>
        <v>1</v>
      </c>
      <c r="AD51" s="24">
        <f t="shared" si="16"/>
        <v>0</v>
      </c>
      <c r="AE51" s="24">
        <f t="shared" si="17"/>
        <v>3</v>
      </c>
      <c r="AF51" s="24">
        <f t="shared" si="22"/>
        <v>-1</v>
      </c>
      <c r="AG51" s="24">
        <f t="shared" si="23"/>
        <v>1</v>
      </c>
      <c r="AH51" s="24">
        <f t="shared" si="24"/>
        <v>1</v>
      </c>
      <c r="AI51" s="13">
        <f t="shared" si="18"/>
        <v>2</v>
      </c>
    </row>
    <row r="52" spans="1:35" ht="15.75" customHeight="1" thickBot="1" x14ac:dyDescent="0.3">
      <c r="A52" s="6">
        <v>50</v>
      </c>
      <c r="B52" s="23">
        <v>2</v>
      </c>
      <c r="C52" s="23"/>
      <c r="D52" s="23">
        <v>15</v>
      </c>
      <c r="E52" s="1" t="str">
        <f t="shared" si="19"/>
        <v>Q</v>
      </c>
      <c r="F52" s="23">
        <v>37</v>
      </c>
      <c r="H52" s="24">
        <f t="shared" si="8"/>
        <v>1</v>
      </c>
      <c r="I52" s="24">
        <f t="shared" si="9"/>
        <v>1</v>
      </c>
      <c r="J52" s="24">
        <f t="shared" si="10"/>
        <v>0</v>
      </c>
      <c r="K52" s="24">
        <f t="shared" si="11"/>
        <v>3</v>
      </c>
      <c r="L52" s="24">
        <f t="shared" si="12"/>
        <v>-1</v>
      </c>
      <c r="M52" s="24">
        <f t="shared" si="13"/>
        <v>1</v>
      </c>
      <c r="N52" s="24">
        <f t="shared" si="14"/>
        <v>1</v>
      </c>
      <c r="O52" s="13">
        <f t="shared" si="15"/>
        <v>2</v>
      </c>
      <c r="U52" s="6">
        <v>50</v>
      </c>
      <c r="V52" s="48">
        <v>1</v>
      </c>
      <c r="W52" s="9">
        <v>45</v>
      </c>
      <c r="X52" s="47" t="s">
        <v>5</v>
      </c>
      <c r="Y52" s="9">
        <v>17</v>
      </c>
      <c r="Z52" s="44">
        <v>1</v>
      </c>
      <c r="AA52" s="26"/>
      <c r="AB52" s="24">
        <f t="shared" si="20"/>
        <v>1</v>
      </c>
      <c r="AC52" s="24">
        <f t="shared" si="21"/>
        <v>1</v>
      </c>
      <c r="AD52" s="24">
        <f t="shared" si="16"/>
        <v>0</v>
      </c>
      <c r="AE52" s="24">
        <f t="shared" si="17"/>
        <v>3</v>
      </c>
      <c r="AF52" s="24">
        <f t="shared" si="22"/>
        <v>-2</v>
      </c>
      <c r="AG52" s="24">
        <f t="shared" si="23"/>
        <v>1</v>
      </c>
      <c r="AH52" s="24">
        <f t="shared" si="24"/>
        <v>1</v>
      </c>
      <c r="AI52" s="13">
        <f t="shared" si="18"/>
        <v>1</v>
      </c>
    </row>
    <row r="54" spans="1:35" x14ac:dyDescent="0.25">
      <c r="A54" s="24"/>
      <c r="B54" s="24"/>
      <c r="C54" s="24"/>
      <c r="D54" s="24"/>
      <c r="E54" s="24"/>
      <c r="F54" s="24"/>
      <c r="G54" s="24"/>
      <c r="H54" s="24"/>
      <c r="I54" s="24"/>
    </row>
    <row r="55" spans="1:35" x14ac:dyDescent="0.25">
      <c r="A55" s="24"/>
      <c r="B55" s="24"/>
      <c r="C55" s="24"/>
      <c r="D55" s="24"/>
      <c r="E55" s="24"/>
      <c r="F55" s="24"/>
      <c r="G55" s="24"/>
      <c r="H55" s="24"/>
      <c r="I55" s="24"/>
    </row>
    <row r="56" spans="1:35" x14ac:dyDescent="0.25">
      <c r="A56" s="24"/>
      <c r="B56" s="24"/>
      <c r="C56" s="24"/>
      <c r="D56" s="24"/>
      <c r="E56" s="24"/>
      <c r="F56" s="24"/>
      <c r="G56" s="24"/>
      <c r="H56" s="24"/>
      <c r="I56" s="24"/>
    </row>
    <row r="57" spans="1:35" x14ac:dyDescent="0.25">
      <c r="A57" s="24"/>
      <c r="B57" s="24"/>
      <c r="C57" s="24"/>
      <c r="D57" s="24"/>
      <c r="E57" s="24"/>
      <c r="F57" s="24"/>
      <c r="G57" s="24"/>
      <c r="H57" s="24"/>
      <c r="I57" s="24"/>
    </row>
    <row r="58" spans="1:35" x14ac:dyDescent="0.25">
      <c r="A58" s="24"/>
      <c r="B58" s="24"/>
      <c r="C58" s="24"/>
      <c r="D58" s="24"/>
      <c r="E58" s="24"/>
      <c r="F58" s="24"/>
      <c r="G58" s="24"/>
      <c r="H58" s="24"/>
      <c r="I58" s="24"/>
    </row>
    <row r="59" spans="1:35" x14ac:dyDescent="0.25">
      <c r="A59" s="24"/>
      <c r="B59" s="24"/>
      <c r="C59" s="24"/>
      <c r="D59" s="24"/>
      <c r="E59" s="24"/>
      <c r="F59" s="24"/>
      <c r="G59" s="24"/>
      <c r="H59" s="24"/>
      <c r="I59" s="24"/>
    </row>
    <row r="60" spans="1:35" x14ac:dyDescent="0.25">
      <c r="A60" s="24"/>
      <c r="B60" s="24"/>
      <c r="C60" s="24"/>
      <c r="D60" s="24"/>
      <c r="E60" s="24"/>
      <c r="F60" s="24"/>
      <c r="G60" s="24"/>
      <c r="H60" s="24"/>
      <c r="I60" s="24"/>
    </row>
    <row r="61" spans="1:35" x14ac:dyDescent="0.25">
      <c r="A61" s="24"/>
      <c r="B61" s="24"/>
      <c r="C61" s="24"/>
      <c r="D61" s="24"/>
      <c r="E61" s="24"/>
      <c r="F61" s="24"/>
      <c r="G61" s="24"/>
      <c r="H61" s="24"/>
      <c r="I61" s="24"/>
    </row>
    <row r="62" spans="1:35" x14ac:dyDescent="0.25">
      <c r="A62" s="24"/>
      <c r="B62" s="24"/>
      <c r="C62" s="24"/>
      <c r="D62" s="24"/>
      <c r="E62" s="24"/>
      <c r="F62" s="24"/>
      <c r="G62" s="24"/>
      <c r="H62" s="24"/>
      <c r="I62" s="24"/>
    </row>
    <row r="63" spans="1:35" x14ac:dyDescent="0.25">
      <c r="A63" s="24"/>
      <c r="B63" s="24"/>
      <c r="C63" s="24"/>
      <c r="D63" s="24"/>
      <c r="E63" s="24"/>
      <c r="F63" s="24"/>
      <c r="G63" s="24"/>
      <c r="H63" s="24"/>
      <c r="I63" s="24"/>
    </row>
    <row r="64" spans="1:35" x14ac:dyDescent="0.25">
      <c r="A64" s="24"/>
      <c r="B64" s="24"/>
      <c r="C64" s="24"/>
      <c r="D64" s="24"/>
      <c r="E64" s="24"/>
      <c r="F64" s="24"/>
      <c r="G64" s="24"/>
      <c r="H64" s="24"/>
      <c r="I64" s="24"/>
    </row>
    <row r="65" spans="1:9" x14ac:dyDescent="0.25">
      <c r="A65" s="24"/>
      <c r="B65" s="24"/>
      <c r="C65" s="24"/>
      <c r="D65" s="24"/>
      <c r="E65" s="24"/>
      <c r="F65" s="24"/>
      <c r="G65" s="24"/>
      <c r="H65" s="24"/>
      <c r="I65" s="24"/>
    </row>
    <row r="66" spans="1:9" x14ac:dyDescent="0.25">
      <c r="A66" s="24"/>
      <c r="B66" s="24"/>
      <c r="C66" s="24"/>
      <c r="D66" s="24"/>
      <c r="E66" s="24"/>
      <c r="F66" s="24"/>
      <c r="G66" s="24"/>
      <c r="H66" s="24"/>
      <c r="I66" s="24"/>
    </row>
    <row r="67" spans="1:9" x14ac:dyDescent="0.25">
      <c r="A67" s="24"/>
      <c r="B67" s="24"/>
      <c r="C67" s="24"/>
      <c r="D67" s="24"/>
      <c r="E67" s="24"/>
      <c r="F67" s="24"/>
      <c r="G67" s="24"/>
      <c r="H67" s="24"/>
      <c r="I67" s="24"/>
    </row>
    <row r="68" spans="1:9" x14ac:dyDescent="0.25">
      <c r="A68" s="24"/>
      <c r="B68" s="24"/>
      <c r="C68" s="24"/>
      <c r="D68" s="24"/>
      <c r="E68" s="24"/>
      <c r="F68" s="24"/>
      <c r="G68" s="24"/>
      <c r="H68" s="24"/>
      <c r="I68" s="24"/>
    </row>
    <row r="69" spans="1:9" x14ac:dyDescent="0.25">
      <c r="A69" s="24"/>
      <c r="B69" s="24"/>
      <c r="C69" s="24"/>
      <c r="D69" s="24"/>
      <c r="E69" s="24"/>
      <c r="F69" s="24"/>
      <c r="G69" s="24"/>
      <c r="H69" s="24"/>
      <c r="I69" s="24"/>
    </row>
    <row r="70" spans="1:9" x14ac:dyDescent="0.25">
      <c r="A70" s="24"/>
      <c r="B70" s="24"/>
      <c r="C70" s="24"/>
      <c r="D70" s="24"/>
      <c r="E70" s="24"/>
      <c r="F70" s="24"/>
      <c r="G70" s="24"/>
      <c r="H70" s="24"/>
      <c r="I70" s="24"/>
    </row>
    <row r="71" spans="1:9" x14ac:dyDescent="0.25">
      <c r="A71" s="24"/>
      <c r="B71" s="24"/>
      <c r="C71" s="24"/>
      <c r="D71" s="24"/>
      <c r="E71" s="24"/>
      <c r="F71" s="24"/>
      <c r="G71" s="24"/>
      <c r="H71" s="24"/>
      <c r="I71" s="24"/>
    </row>
    <row r="72" spans="1:9" x14ac:dyDescent="0.25">
      <c r="A72" s="24"/>
      <c r="B72" s="24"/>
      <c r="C72" s="24"/>
      <c r="D72" s="24"/>
      <c r="E72" s="24"/>
      <c r="F72" s="24"/>
      <c r="G72" s="24"/>
      <c r="H72" s="24"/>
      <c r="I72" s="24"/>
    </row>
    <row r="73" spans="1:9" x14ac:dyDescent="0.25">
      <c r="A73" s="24"/>
      <c r="B73" s="24"/>
      <c r="C73" s="24"/>
      <c r="D73" s="24"/>
      <c r="E73" s="24"/>
      <c r="F73" s="24"/>
      <c r="G73" s="24"/>
      <c r="H73" s="24"/>
      <c r="I73" s="24"/>
    </row>
    <row r="74" spans="1:9" x14ac:dyDescent="0.25">
      <c r="A74" s="24"/>
      <c r="B74" s="24"/>
      <c r="C74" s="24"/>
      <c r="D74" s="24"/>
      <c r="E74" s="24"/>
      <c r="F74" s="24"/>
      <c r="G74" s="24"/>
      <c r="H74" s="24"/>
      <c r="I74" s="24"/>
    </row>
    <row r="75" spans="1:9" x14ac:dyDescent="0.25">
      <c r="A75" s="24"/>
      <c r="B75" s="24"/>
      <c r="C75" s="24"/>
      <c r="D75" s="24"/>
      <c r="E75" s="24"/>
      <c r="F75" s="24"/>
      <c r="G75" s="24"/>
      <c r="H75" s="24"/>
      <c r="I75" s="24"/>
    </row>
    <row r="76" spans="1:9" x14ac:dyDescent="0.25">
      <c r="A76" s="24"/>
      <c r="B76" s="24"/>
      <c r="C76" s="24"/>
      <c r="D76" s="24"/>
      <c r="E76" s="24"/>
      <c r="F76" s="24"/>
      <c r="G76" s="24"/>
      <c r="H76" s="24"/>
      <c r="I76" s="24"/>
    </row>
    <row r="77" spans="1:9" x14ac:dyDescent="0.25">
      <c r="A77" s="24"/>
      <c r="B77" s="24"/>
      <c r="C77" s="24"/>
      <c r="D77" s="24"/>
      <c r="E77" s="24"/>
      <c r="F77" s="24"/>
      <c r="G77" s="24"/>
      <c r="H77" s="24"/>
      <c r="I77" s="24"/>
    </row>
    <row r="78" spans="1:9" x14ac:dyDescent="0.25">
      <c r="A78" s="24"/>
      <c r="B78" s="24"/>
      <c r="C78" s="24"/>
      <c r="D78" s="24"/>
      <c r="E78" s="24"/>
      <c r="F78" s="24"/>
      <c r="G78" s="24"/>
      <c r="H78" s="24"/>
      <c r="I78" s="24"/>
    </row>
    <row r="79" spans="1:9" x14ac:dyDescent="0.25">
      <c r="A79" s="24"/>
      <c r="B79" s="24"/>
      <c r="C79" s="24"/>
      <c r="D79" s="24"/>
      <c r="E79" s="24"/>
      <c r="F79" s="24"/>
      <c r="G79" s="24"/>
      <c r="H79" s="24"/>
      <c r="I79" s="24"/>
    </row>
    <row r="80" spans="1:9" x14ac:dyDescent="0.25">
      <c r="A80" s="24"/>
      <c r="B80" s="24"/>
      <c r="C80" s="24"/>
      <c r="D80" s="24"/>
      <c r="E80" s="24"/>
      <c r="F80" s="24"/>
      <c r="G80" s="24"/>
      <c r="H80" s="24"/>
      <c r="I80" s="24"/>
    </row>
    <row r="81" spans="1:9" x14ac:dyDescent="0.25">
      <c r="A81" s="24"/>
      <c r="B81" s="24"/>
      <c r="C81" s="24"/>
      <c r="D81" s="24"/>
      <c r="E81" s="24"/>
      <c r="F81" s="24"/>
      <c r="G81" s="24"/>
      <c r="H81" s="24"/>
      <c r="I81" s="24"/>
    </row>
    <row r="82" spans="1:9" x14ac:dyDescent="0.25">
      <c r="A82" s="24"/>
      <c r="B82" s="24"/>
      <c r="C82" s="24"/>
      <c r="D82" s="24"/>
      <c r="E82" s="24"/>
      <c r="F82" s="24"/>
      <c r="G82" s="24"/>
      <c r="H82" s="24"/>
      <c r="I82" s="24"/>
    </row>
    <row r="83" spans="1:9" x14ac:dyDescent="0.25">
      <c r="A83" s="24"/>
      <c r="B83" s="24"/>
      <c r="C83" s="24"/>
      <c r="D83" s="24"/>
      <c r="E83" s="24"/>
      <c r="F83" s="24"/>
      <c r="G83" s="24"/>
      <c r="H83" s="24"/>
      <c r="I83" s="24"/>
    </row>
    <row r="84" spans="1:9" x14ac:dyDescent="0.25">
      <c r="A84" s="24"/>
      <c r="B84" s="24"/>
      <c r="C84" s="24"/>
      <c r="D84" s="24"/>
      <c r="E84" s="24"/>
      <c r="F84" s="24"/>
      <c r="G84" s="24"/>
      <c r="H84" s="24"/>
      <c r="I84" s="24"/>
    </row>
    <row r="85" spans="1:9" x14ac:dyDescent="0.25">
      <c r="A85" s="24"/>
      <c r="B85" s="24"/>
      <c r="C85" s="24"/>
      <c r="D85" s="24"/>
      <c r="E85" s="24"/>
      <c r="F85" s="24"/>
      <c r="G85" s="24"/>
      <c r="H85" s="24"/>
      <c r="I85" s="24"/>
    </row>
    <row r="86" spans="1:9" x14ac:dyDescent="0.25">
      <c r="A86" s="24"/>
      <c r="B86" s="24"/>
      <c r="C86" s="24"/>
      <c r="D86" s="24"/>
      <c r="E86" s="24"/>
      <c r="F86" s="24"/>
      <c r="G86" s="24"/>
      <c r="H86" s="24"/>
      <c r="I86" s="24"/>
    </row>
    <row r="87" spans="1:9" x14ac:dyDescent="0.25">
      <c r="A87" s="24"/>
      <c r="B87" s="24"/>
      <c r="C87" s="24"/>
      <c r="D87" s="24"/>
      <c r="E87" s="24"/>
      <c r="F87" s="24"/>
      <c r="G87" s="24"/>
      <c r="H87" s="24"/>
      <c r="I87" s="24"/>
    </row>
    <row r="88" spans="1:9" x14ac:dyDescent="0.25">
      <c r="A88" s="24"/>
      <c r="B88" s="24"/>
      <c r="C88" s="24"/>
      <c r="D88" s="24"/>
      <c r="E88" s="24"/>
      <c r="F88" s="24"/>
      <c r="G88" s="24"/>
      <c r="H88" s="24"/>
      <c r="I88" s="24"/>
    </row>
    <row r="89" spans="1:9" x14ac:dyDescent="0.25">
      <c r="A89" s="24"/>
      <c r="B89" s="24"/>
      <c r="C89" s="24"/>
      <c r="D89" s="24"/>
      <c r="E89" s="24"/>
      <c r="F89" s="24"/>
      <c r="G89" s="24"/>
      <c r="H89" s="24"/>
      <c r="I89" s="24"/>
    </row>
    <row r="90" spans="1:9" x14ac:dyDescent="0.25">
      <c r="A90" s="24"/>
      <c r="B90" s="24"/>
      <c r="C90" s="24"/>
      <c r="D90" s="24"/>
      <c r="E90" s="24"/>
      <c r="F90" s="24"/>
      <c r="G90" s="24"/>
      <c r="H90" s="24"/>
      <c r="I90" s="24"/>
    </row>
    <row r="91" spans="1:9" x14ac:dyDescent="0.25">
      <c r="A91" s="24"/>
      <c r="B91" s="24"/>
      <c r="C91" s="24"/>
      <c r="D91" s="24"/>
      <c r="E91" s="24"/>
      <c r="F91" s="24"/>
      <c r="G91" s="24"/>
      <c r="H91" s="24"/>
      <c r="I91" s="24"/>
    </row>
    <row r="92" spans="1:9" x14ac:dyDescent="0.25">
      <c r="A92" s="24"/>
      <c r="B92" s="24"/>
      <c r="C92" s="24"/>
      <c r="D92" s="24"/>
      <c r="E92" s="24"/>
      <c r="F92" s="24"/>
      <c r="G92" s="24"/>
      <c r="H92" s="24"/>
      <c r="I92" s="24"/>
    </row>
    <row r="93" spans="1:9" x14ac:dyDescent="0.25">
      <c r="A93" s="24"/>
      <c r="B93" s="24"/>
      <c r="C93" s="24"/>
      <c r="D93" s="24"/>
      <c r="E93" s="24"/>
      <c r="F93" s="24"/>
      <c r="G93" s="24"/>
      <c r="H93" s="24"/>
      <c r="I93" s="24"/>
    </row>
    <row r="94" spans="1:9" x14ac:dyDescent="0.25">
      <c r="A94" s="24"/>
      <c r="B94" s="24"/>
      <c r="C94" s="24"/>
      <c r="D94" s="24"/>
      <c r="E94" s="24"/>
      <c r="F94" s="24"/>
      <c r="G94" s="24"/>
      <c r="H94" s="24"/>
      <c r="I94" s="24"/>
    </row>
    <row r="95" spans="1:9" x14ac:dyDescent="0.25">
      <c r="A95" s="24"/>
      <c r="B95" s="24"/>
      <c r="C95" s="24"/>
      <c r="D95" s="24"/>
      <c r="E95" s="24"/>
      <c r="F95" s="24"/>
      <c r="G95" s="24"/>
      <c r="H95" s="24"/>
      <c r="I95" s="24"/>
    </row>
    <row r="96" spans="1:9" x14ac:dyDescent="0.25">
      <c r="A96" s="24"/>
      <c r="B96" s="24"/>
      <c r="C96" s="24"/>
      <c r="D96" s="24"/>
      <c r="E96" s="24"/>
      <c r="F96" s="24"/>
      <c r="G96" s="24"/>
      <c r="H96" s="24"/>
      <c r="I96" s="24"/>
    </row>
    <row r="97" spans="1:9" x14ac:dyDescent="0.25">
      <c r="A97" s="24"/>
      <c r="B97" s="24"/>
      <c r="C97" s="24"/>
      <c r="D97" s="24"/>
      <c r="E97" s="24"/>
      <c r="F97" s="24"/>
      <c r="G97" s="24"/>
      <c r="H97" s="24"/>
      <c r="I97" s="24"/>
    </row>
    <row r="98" spans="1:9" x14ac:dyDescent="0.25">
      <c r="A98" s="24"/>
      <c r="B98" s="24"/>
      <c r="C98" s="24"/>
      <c r="D98" s="24"/>
      <c r="E98" s="24"/>
      <c r="F98" s="24"/>
      <c r="G98" s="24"/>
      <c r="H98" s="24"/>
      <c r="I98" s="24"/>
    </row>
    <row r="99" spans="1:9" x14ac:dyDescent="0.25">
      <c r="A99" s="24"/>
      <c r="B99" s="24"/>
      <c r="C99" s="24"/>
      <c r="D99" s="24"/>
      <c r="E99" s="24"/>
      <c r="F99" s="24"/>
      <c r="G99" s="24"/>
      <c r="H99" s="24"/>
      <c r="I99" s="24"/>
    </row>
    <row r="100" spans="1:9" x14ac:dyDescent="0.25">
      <c r="A100" s="25"/>
      <c r="B100" s="25"/>
      <c r="C100" s="25"/>
      <c r="D100" s="25"/>
      <c r="E100" s="25"/>
      <c r="F100" s="25"/>
      <c r="G100" s="25"/>
      <c r="H100" s="25"/>
      <c r="I100" s="25"/>
    </row>
  </sheetData>
  <mergeCells count="18">
    <mergeCell ref="U1:Y1"/>
    <mergeCell ref="D2:F2"/>
    <mergeCell ref="A1:F1"/>
    <mergeCell ref="AE1:AE2"/>
    <mergeCell ref="AF1:AF2"/>
    <mergeCell ref="AG1:AG2"/>
    <mergeCell ref="AH1:AH2"/>
    <mergeCell ref="H1:H2"/>
    <mergeCell ref="I1:I2"/>
    <mergeCell ref="J1:J2"/>
    <mergeCell ref="K1:K2"/>
    <mergeCell ref="L1:L2"/>
    <mergeCell ref="M1:M2"/>
    <mergeCell ref="N1:N2"/>
    <mergeCell ref="AB1:AB2"/>
    <mergeCell ref="AC1:AC2"/>
    <mergeCell ref="AD1:AD2"/>
    <mergeCell ref="W2:Y2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7"/>
  <sheetViews>
    <sheetView workbookViewId="0">
      <selection activeCell="F2" sqref="F2"/>
    </sheetView>
  </sheetViews>
  <sheetFormatPr baseColWidth="10" defaultRowHeight="15" x14ac:dyDescent="0.25"/>
  <cols>
    <col min="1" max="2" width="3.28515625" bestFit="1" customWidth="1"/>
    <col min="3" max="3" width="2.7109375" bestFit="1" customWidth="1"/>
    <col min="4" max="4" width="2.85546875" bestFit="1" customWidth="1"/>
    <col min="5" max="5" width="2.7109375" bestFit="1" customWidth="1"/>
  </cols>
  <sheetData>
    <row r="1" spans="1:14" ht="26.25" customHeight="1" x14ac:dyDescent="0.25">
      <c r="A1" s="63" t="s">
        <v>19</v>
      </c>
      <c r="B1" s="64"/>
      <c r="C1" s="64"/>
      <c r="D1" s="64"/>
      <c r="E1" s="65"/>
    </row>
    <row r="2" spans="1:14" ht="26.25" customHeight="1" thickBot="1" x14ac:dyDescent="0.3">
      <c r="A2" s="66"/>
      <c r="B2" s="67"/>
      <c r="C2" s="67"/>
      <c r="D2" s="67"/>
      <c r="E2" s="68"/>
      <c r="G2" s="29" t="s">
        <v>6</v>
      </c>
      <c r="H2" s="29" t="s">
        <v>7</v>
      </c>
      <c r="I2" s="29" t="s">
        <v>8</v>
      </c>
      <c r="J2" s="29" t="s">
        <v>14</v>
      </c>
      <c r="K2" s="29" t="s">
        <v>9</v>
      </c>
      <c r="L2" s="29" t="s">
        <v>10</v>
      </c>
      <c r="M2" s="29" t="s">
        <v>11</v>
      </c>
      <c r="N2" s="27"/>
    </row>
    <row r="3" spans="1:14" ht="65.25" customHeight="1" thickBot="1" x14ac:dyDescent="0.3">
      <c r="A3" s="58" t="s">
        <v>16</v>
      </c>
      <c r="B3" s="59" t="s">
        <v>1</v>
      </c>
      <c r="C3" s="60" t="s">
        <v>2</v>
      </c>
      <c r="D3" s="61"/>
      <c r="E3" s="62"/>
      <c r="G3" s="30"/>
      <c r="H3" s="30"/>
      <c r="I3" s="30"/>
      <c r="J3" s="30"/>
      <c r="K3" s="30"/>
      <c r="L3" s="30"/>
      <c r="M3" s="30"/>
      <c r="N3" s="28" t="s">
        <v>1</v>
      </c>
    </row>
    <row r="4" spans="1:14" ht="15.75" customHeight="1" thickBot="1" x14ac:dyDescent="0.3">
      <c r="A4" s="16">
        <v>1</v>
      </c>
      <c r="B4" s="17">
        <v>3</v>
      </c>
      <c r="C4" s="18">
        <v>58</v>
      </c>
      <c r="D4" s="19" t="s">
        <v>4</v>
      </c>
      <c r="E4" s="18">
        <v>56</v>
      </c>
      <c r="G4" s="24">
        <f>COUNTIF($C$4:$C$67,A4)</f>
        <v>1</v>
      </c>
      <c r="H4" s="24">
        <f>COUNTIF($E$4:$E$67,A4)</f>
        <v>1</v>
      </c>
      <c r="I4" s="24">
        <f t="shared" ref="I4" si="0">H4-G4</f>
        <v>0</v>
      </c>
      <c r="J4" s="24">
        <f>3-I4</f>
        <v>3</v>
      </c>
      <c r="K4" s="24">
        <f>B4-J4</f>
        <v>0</v>
      </c>
      <c r="L4" s="24">
        <f>COUNTIF($C$4:$C$67,A4)</f>
        <v>1</v>
      </c>
      <c r="M4" s="24">
        <f>COUNTIF(E4:E67,A4)</f>
        <v>1</v>
      </c>
      <c r="N4" s="13">
        <f>+J4+K4</f>
        <v>3</v>
      </c>
    </row>
    <row r="5" spans="1:14" ht="15.75" customHeight="1" thickBot="1" x14ac:dyDescent="0.3">
      <c r="A5" s="51">
        <v>2</v>
      </c>
      <c r="B5" s="17">
        <v>1</v>
      </c>
      <c r="C5" s="18">
        <v>55</v>
      </c>
      <c r="D5" s="19" t="s">
        <v>5</v>
      </c>
      <c r="E5" s="18">
        <v>59</v>
      </c>
      <c r="G5" s="24">
        <f t="shared" ref="G5:G67" si="1">COUNTIF($C$4:$C$67,A5)</f>
        <v>1</v>
      </c>
      <c r="H5" s="24">
        <f t="shared" ref="H5:H67" si="2">COUNTIF($E$4:$E$67,A5)</f>
        <v>1</v>
      </c>
      <c r="I5" s="24">
        <f t="shared" ref="I5:I67" si="3">H5-G5</f>
        <v>0</v>
      </c>
      <c r="J5" s="24">
        <f t="shared" ref="J5:J67" si="4">3-I5</f>
        <v>3</v>
      </c>
      <c r="K5" s="24">
        <f t="shared" ref="K5:K67" si="5">B5-J5</f>
        <v>-2</v>
      </c>
      <c r="L5" s="24">
        <f t="shared" ref="L5:L67" si="6">COUNTIF($C$4:$C$67,A5)</f>
        <v>1</v>
      </c>
      <c r="M5" s="24">
        <f t="shared" ref="M5" si="7">COUNTIF(E5:E68,A5)</f>
        <v>1</v>
      </c>
      <c r="N5" s="13">
        <f t="shared" ref="N5:N67" si="8">+J5+K5</f>
        <v>1</v>
      </c>
    </row>
    <row r="6" spans="1:14" ht="15.75" customHeight="1" thickBot="1" x14ac:dyDescent="0.3">
      <c r="A6" s="52">
        <v>3</v>
      </c>
      <c r="B6" s="17">
        <v>2</v>
      </c>
      <c r="C6" s="18">
        <v>60</v>
      </c>
      <c r="D6" s="19" t="s">
        <v>4</v>
      </c>
      <c r="E6" s="18">
        <v>54</v>
      </c>
      <c r="G6" s="24">
        <f t="shared" si="1"/>
        <v>1</v>
      </c>
      <c r="H6" s="24">
        <f t="shared" si="2"/>
        <v>1</v>
      </c>
      <c r="I6" s="24">
        <f t="shared" si="3"/>
        <v>0</v>
      </c>
      <c r="J6" s="24">
        <f t="shared" si="4"/>
        <v>3</v>
      </c>
      <c r="K6" s="24">
        <f t="shared" si="5"/>
        <v>-1</v>
      </c>
      <c r="L6" s="24">
        <f t="shared" si="6"/>
        <v>1</v>
      </c>
      <c r="M6" s="24">
        <f>COUNTIF(E6:E68,A6)</f>
        <v>1</v>
      </c>
      <c r="N6" s="13">
        <f t="shared" si="8"/>
        <v>2</v>
      </c>
    </row>
    <row r="7" spans="1:14" ht="15.75" customHeight="1" thickBot="1" x14ac:dyDescent="0.3">
      <c r="A7" s="53">
        <v>4</v>
      </c>
      <c r="B7" s="17">
        <v>1</v>
      </c>
      <c r="C7" s="18">
        <v>53</v>
      </c>
      <c r="D7" s="19" t="s">
        <v>5</v>
      </c>
      <c r="E7" s="18">
        <v>61</v>
      </c>
      <c r="G7" s="24">
        <f t="shared" si="1"/>
        <v>1</v>
      </c>
      <c r="H7" s="24">
        <f t="shared" si="2"/>
        <v>1</v>
      </c>
      <c r="I7" s="24">
        <f t="shared" si="3"/>
        <v>0</v>
      </c>
      <c r="J7" s="24">
        <f t="shared" si="4"/>
        <v>3</v>
      </c>
      <c r="K7" s="24">
        <f t="shared" si="5"/>
        <v>-2</v>
      </c>
      <c r="L7" s="24">
        <f t="shared" si="6"/>
        <v>1</v>
      </c>
      <c r="M7" s="24">
        <f>COUNTIF(E7:E68,A7)</f>
        <v>1</v>
      </c>
      <c r="N7" s="13">
        <f t="shared" si="8"/>
        <v>1</v>
      </c>
    </row>
    <row r="8" spans="1:14" ht="15.75" customHeight="1" thickBot="1" x14ac:dyDescent="0.3">
      <c r="A8" s="50">
        <v>5</v>
      </c>
      <c r="B8" s="17">
        <v>1</v>
      </c>
      <c r="C8" s="20">
        <v>1</v>
      </c>
      <c r="D8" s="21" t="s">
        <v>5</v>
      </c>
      <c r="E8" s="20">
        <v>41</v>
      </c>
      <c r="G8" s="24">
        <f t="shared" si="1"/>
        <v>1</v>
      </c>
      <c r="H8" s="24">
        <f t="shared" si="2"/>
        <v>1</v>
      </c>
      <c r="I8" s="24">
        <f t="shared" si="3"/>
        <v>0</v>
      </c>
      <c r="J8" s="24">
        <f t="shared" si="4"/>
        <v>3</v>
      </c>
      <c r="K8" s="24">
        <f t="shared" si="5"/>
        <v>-2</v>
      </c>
      <c r="L8" s="24">
        <f t="shared" si="6"/>
        <v>1</v>
      </c>
      <c r="M8" s="24">
        <f>COUNTIF(E8:E68,A8)</f>
        <v>1</v>
      </c>
      <c r="N8" s="13">
        <f t="shared" si="8"/>
        <v>1</v>
      </c>
    </row>
    <row r="9" spans="1:14" ht="15.75" customHeight="1" thickBot="1" x14ac:dyDescent="0.3">
      <c r="A9" s="53">
        <v>6</v>
      </c>
      <c r="B9" s="17">
        <v>1</v>
      </c>
      <c r="C9" s="20">
        <v>40</v>
      </c>
      <c r="D9" s="21" t="s">
        <v>4</v>
      </c>
      <c r="E9" s="20">
        <v>2</v>
      </c>
      <c r="G9" s="24">
        <f t="shared" si="1"/>
        <v>1</v>
      </c>
      <c r="H9" s="24">
        <f t="shared" si="2"/>
        <v>1</v>
      </c>
      <c r="I9" s="24">
        <f t="shared" si="3"/>
        <v>0</v>
      </c>
      <c r="J9" s="24">
        <f t="shared" si="4"/>
        <v>3</v>
      </c>
      <c r="K9" s="24">
        <f t="shared" si="5"/>
        <v>-2</v>
      </c>
      <c r="L9" s="24">
        <f t="shared" si="6"/>
        <v>1</v>
      </c>
      <c r="M9" s="24">
        <f>COUNTIF(E9:E68,A9)</f>
        <v>1</v>
      </c>
      <c r="N9" s="13">
        <f t="shared" si="8"/>
        <v>1</v>
      </c>
    </row>
    <row r="10" spans="1:14" ht="15.75" customHeight="1" thickBot="1" x14ac:dyDescent="0.3">
      <c r="A10" s="52">
        <v>7</v>
      </c>
      <c r="B10" s="17">
        <v>2</v>
      </c>
      <c r="C10" s="20">
        <v>3</v>
      </c>
      <c r="D10" s="21" t="s">
        <v>5</v>
      </c>
      <c r="E10" s="20">
        <v>39</v>
      </c>
      <c r="G10" s="24">
        <f t="shared" si="1"/>
        <v>1</v>
      </c>
      <c r="H10" s="24">
        <f t="shared" si="2"/>
        <v>1</v>
      </c>
      <c r="I10" s="24">
        <f t="shared" si="3"/>
        <v>0</v>
      </c>
      <c r="J10" s="24">
        <f t="shared" si="4"/>
        <v>3</v>
      </c>
      <c r="K10" s="24">
        <f t="shared" si="5"/>
        <v>-1</v>
      </c>
      <c r="L10" s="24">
        <f t="shared" si="6"/>
        <v>1</v>
      </c>
      <c r="M10" s="24">
        <f>COUNTIF(E10:E68,A10)</f>
        <v>1</v>
      </c>
      <c r="N10" s="13">
        <f t="shared" si="8"/>
        <v>2</v>
      </c>
    </row>
    <row r="11" spans="1:14" ht="15.75" customHeight="1" thickBot="1" x14ac:dyDescent="0.3">
      <c r="A11" s="51">
        <v>8</v>
      </c>
      <c r="B11" s="17">
        <v>1</v>
      </c>
      <c r="C11" s="20">
        <v>38</v>
      </c>
      <c r="D11" s="21" t="s">
        <v>4</v>
      </c>
      <c r="E11" s="20">
        <v>4</v>
      </c>
      <c r="G11" s="24">
        <f t="shared" si="1"/>
        <v>1</v>
      </c>
      <c r="H11" s="24">
        <f t="shared" si="2"/>
        <v>1</v>
      </c>
      <c r="I11" s="24">
        <f t="shared" si="3"/>
        <v>0</v>
      </c>
      <c r="J11" s="24">
        <f t="shared" si="4"/>
        <v>3</v>
      </c>
      <c r="K11" s="24">
        <f t="shared" si="5"/>
        <v>-2</v>
      </c>
      <c r="L11" s="24">
        <f t="shared" si="6"/>
        <v>1</v>
      </c>
      <c r="M11" s="24">
        <f>COUNTIF(E11:E68,A11)</f>
        <v>1</v>
      </c>
      <c r="N11" s="13">
        <f t="shared" si="8"/>
        <v>1</v>
      </c>
    </row>
    <row r="12" spans="1:14" ht="15.75" customHeight="1" thickBot="1" x14ac:dyDescent="0.3">
      <c r="A12" s="16">
        <v>9</v>
      </c>
      <c r="B12" s="17">
        <v>3</v>
      </c>
      <c r="C12" s="18">
        <v>2</v>
      </c>
      <c r="D12" s="19" t="s">
        <v>4</v>
      </c>
      <c r="E12" s="18">
        <v>64</v>
      </c>
      <c r="G12" s="24">
        <f t="shared" si="1"/>
        <v>1</v>
      </c>
      <c r="H12" s="24">
        <f t="shared" si="2"/>
        <v>1</v>
      </c>
      <c r="I12" s="24">
        <f t="shared" si="3"/>
        <v>0</v>
      </c>
      <c r="J12" s="24">
        <f t="shared" si="4"/>
        <v>3</v>
      </c>
      <c r="K12" s="24">
        <f t="shared" si="5"/>
        <v>0</v>
      </c>
      <c r="L12" s="24">
        <f t="shared" si="6"/>
        <v>1</v>
      </c>
      <c r="M12" s="24">
        <f>COUNTIF(E12:E68,A12)</f>
        <v>1</v>
      </c>
      <c r="N12" s="13">
        <f t="shared" si="8"/>
        <v>3</v>
      </c>
    </row>
    <row r="13" spans="1:14" ht="15.75" customHeight="1" thickBot="1" x14ac:dyDescent="0.3">
      <c r="A13" s="51">
        <v>10</v>
      </c>
      <c r="B13" s="17">
        <v>1</v>
      </c>
      <c r="C13" s="18">
        <v>63</v>
      </c>
      <c r="D13" s="19" t="s">
        <v>5</v>
      </c>
      <c r="E13" s="18">
        <v>3</v>
      </c>
      <c r="G13" s="24">
        <f t="shared" si="1"/>
        <v>1</v>
      </c>
      <c r="H13" s="24">
        <f t="shared" si="2"/>
        <v>1</v>
      </c>
      <c r="I13" s="24">
        <f t="shared" si="3"/>
        <v>0</v>
      </c>
      <c r="J13" s="24">
        <f t="shared" si="4"/>
        <v>3</v>
      </c>
      <c r="K13" s="24">
        <f t="shared" si="5"/>
        <v>-2</v>
      </c>
      <c r="L13" s="24">
        <f t="shared" si="6"/>
        <v>1</v>
      </c>
      <c r="M13" s="24">
        <f>COUNTIF(E13:E68,A13)</f>
        <v>1</v>
      </c>
      <c r="N13" s="13">
        <f t="shared" si="8"/>
        <v>1</v>
      </c>
    </row>
    <row r="14" spans="1:14" ht="15.75" customHeight="1" thickBot="1" x14ac:dyDescent="0.3">
      <c r="A14" s="52">
        <v>11</v>
      </c>
      <c r="B14" s="17">
        <v>2</v>
      </c>
      <c r="C14" s="18">
        <v>4</v>
      </c>
      <c r="D14" s="19" t="s">
        <v>4</v>
      </c>
      <c r="E14" s="18">
        <v>62</v>
      </c>
      <c r="G14" s="24">
        <f t="shared" si="1"/>
        <v>1</v>
      </c>
      <c r="H14" s="24">
        <f t="shared" si="2"/>
        <v>1</v>
      </c>
      <c r="I14" s="24">
        <f t="shared" si="3"/>
        <v>0</v>
      </c>
      <c r="J14" s="24">
        <f t="shared" si="4"/>
        <v>3</v>
      </c>
      <c r="K14" s="24">
        <f t="shared" si="5"/>
        <v>-1</v>
      </c>
      <c r="L14" s="24">
        <f t="shared" si="6"/>
        <v>1</v>
      </c>
      <c r="M14" s="24">
        <f>COUNTIF(E14:E68,A14)</f>
        <v>1</v>
      </c>
      <c r="N14" s="13">
        <f t="shared" si="8"/>
        <v>2</v>
      </c>
    </row>
    <row r="15" spans="1:14" ht="15.75" customHeight="1" thickBot="1" x14ac:dyDescent="0.3">
      <c r="A15" s="53">
        <v>12</v>
      </c>
      <c r="B15" s="17">
        <v>1</v>
      </c>
      <c r="C15" s="18">
        <v>61</v>
      </c>
      <c r="D15" s="19" t="s">
        <v>5</v>
      </c>
      <c r="E15" s="18">
        <v>5</v>
      </c>
      <c r="G15" s="24">
        <f t="shared" si="1"/>
        <v>1</v>
      </c>
      <c r="H15" s="24">
        <f t="shared" si="2"/>
        <v>1</v>
      </c>
      <c r="I15" s="24">
        <f t="shared" si="3"/>
        <v>0</v>
      </c>
      <c r="J15" s="24">
        <f t="shared" si="4"/>
        <v>3</v>
      </c>
      <c r="K15" s="24">
        <f t="shared" si="5"/>
        <v>-2</v>
      </c>
      <c r="L15" s="24">
        <f t="shared" si="6"/>
        <v>1</v>
      </c>
      <c r="M15" s="24">
        <f>COUNTIF(E15:E68,A15)</f>
        <v>1</v>
      </c>
      <c r="N15" s="13">
        <f t="shared" si="8"/>
        <v>1</v>
      </c>
    </row>
    <row r="16" spans="1:14" ht="15.75" customHeight="1" thickBot="1" x14ac:dyDescent="0.3">
      <c r="A16" s="50">
        <v>13</v>
      </c>
      <c r="B16" s="17">
        <v>1</v>
      </c>
      <c r="C16" s="20">
        <v>9</v>
      </c>
      <c r="D16" s="21" t="s">
        <v>5</v>
      </c>
      <c r="E16" s="20">
        <v>49</v>
      </c>
      <c r="G16" s="24">
        <f t="shared" si="1"/>
        <v>1</v>
      </c>
      <c r="H16" s="24">
        <f t="shared" si="2"/>
        <v>1</v>
      </c>
      <c r="I16" s="24">
        <f t="shared" si="3"/>
        <v>0</v>
      </c>
      <c r="J16" s="24">
        <f t="shared" si="4"/>
        <v>3</v>
      </c>
      <c r="K16" s="24">
        <f t="shared" si="5"/>
        <v>-2</v>
      </c>
      <c r="L16" s="24">
        <f t="shared" si="6"/>
        <v>1</v>
      </c>
      <c r="M16" s="24">
        <f>COUNTIF(E16:E68,A16)</f>
        <v>1</v>
      </c>
      <c r="N16" s="13">
        <f t="shared" si="8"/>
        <v>1</v>
      </c>
    </row>
    <row r="17" spans="1:14" ht="15.75" customHeight="1" thickBot="1" x14ac:dyDescent="0.3">
      <c r="A17" s="53">
        <v>14</v>
      </c>
      <c r="B17" s="17">
        <v>1</v>
      </c>
      <c r="C17" s="20">
        <v>48</v>
      </c>
      <c r="D17" s="21" t="s">
        <v>4</v>
      </c>
      <c r="E17" s="20">
        <v>10</v>
      </c>
      <c r="G17" s="24">
        <f t="shared" si="1"/>
        <v>1</v>
      </c>
      <c r="H17" s="24">
        <f t="shared" si="2"/>
        <v>1</v>
      </c>
      <c r="I17" s="24">
        <f t="shared" si="3"/>
        <v>0</v>
      </c>
      <c r="J17" s="24">
        <f t="shared" si="4"/>
        <v>3</v>
      </c>
      <c r="K17" s="24">
        <f t="shared" si="5"/>
        <v>-2</v>
      </c>
      <c r="L17" s="24">
        <f t="shared" si="6"/>
        <v>1</v>
      </c>
      <c r="M17" s="24">
        <f>COUNTIF(E17:E68,A17)</f>
        <v>1</v>
      </c>
      <c r="N17" s="13">
        <f t="shared" si="8"/>
        <v>1</v>
      </c>
    </row>
    <row r="18" spans="1:14" ht="15.75" customHeight="1" thickBot="1" x14ac:dyDescent="0.3">
      <c r="A18" s="52">
        <v>15</v>
      </c>
      <c r="B18" s="17">
        <v>2</v>
      </c>
      <c r="C18" s="20">
        <v>11</v>
      </c>
      <c r="D18" s="21" t="s">
        <v>5</v>
      </c>
      <c r="E18" s="20">
        <v>47</v>
      </c>
      <c r="G18" s="24">
        <f t="shared" si="1"/>
        <v>1</v>
      </c>
      <c r="H18" s="24">
        <f t="shared" si="2"/>
        <v>1</v>
      </c>
      <c r="I18" s="24">
        <f t="shared" si="3"/>
        <v>0</v>
      </c>
      <c r="J18" s="24">
        <f t="shared" si="4"/>
        <v>3</v>
      </c>
      <c r="K18" s="24">
        <f t="shared" si="5"/>
        <v>-1</v>
      </c>
      <c r="L18" s="24">
        <f t="shared" si="6"/>
        <v>1</v>
      </c>
      <c r="M18" s="24">
        <f>COUNTIF(E18:E68,A18)</f>
        <v>1</v>
      </c>
      <c r="N18" s="13">
        <f t="shared" si="8"/>
        <v>2</v>
      </c>
    </row>
    <row r="19" spans="1:14" ht="15.75" customHeight="1" thickBot="1" x14ac:dyDescent="0.3">
      <c r="A19" s="51">
        <v>16</v>
      </c>
      <c r="B19" s="17">
        <v>1</v>
      </c>
      <c r="C19" s="20">
        <v>46</v>
      </c>
      <c r="D19" s="21" t="s">
        <v>4</v>
      </c>
      <c r="E19" s="20">
        <v>12</v>
      </c>
      <c r="G19" s="24">
        <f t="shared" si="1"/>
        <v>1</v>
      </c>
      <c r="H19" s="24">
        <f t="shared" si="2"/>
        <v>1</v>
      </c>
      <c r="I19" s="24">
        <f t="shared" si="3"/>
        <v>0</v>
      </c>
      <c r="J19" s="24">
        <f t="shared" si="4"/>
        <v>3</v>
      </c>
      <c r="K19" s="24">
        <f t="shared" si="5"/>
        <v>-2</v>
      </c>
      <c r="L19" s="24">
        <f t="shared" si="6"/>
        <v>1</v>
      </c>
      <c r="M19" s="24">
        <f>COUNTIF(E19:E68,A19)</f>
        <v>1</v>
      </c>
      <c r="N19" s="13">
        <f t="shared" si="8"/>
        <v>1</v>
      </c>
    </row>
    <row r="20" spans="1:14" ht="15.75" customHeight="1" thickBot="1" x14ac:dyDescent="0.3">
      <c r="A20" s="16">
        <v>17</v>
      </c>
      <c r="B20" s="17">
        <v>3</v>
      </c>
      <c r="C20" s="18">
        <v>10</v>
      </c>
      <c r="D20" s="19" t="s">
        <v>4</v>
      </c>
      <c r="E20" s="18">
        <v>8</v>
      </c>
      <c r="G20" s="24">
        <f t="shared" si="1"/>
        <v>1</v>
      </c>
      <c r="H20" s="24">
        <f t="shared" si="2"/>
        <v>1</v>
      </c>
      <c r="I20" s="24">
        <f t="shared" si="3"/>
        <v>0</v>
      </c>
      <c r="J20" s="24">
        <f t="shared" si="4"/>
        <v>3</v>
      </c>
      <c r="K20" s="24">
        <f t="shared" si="5"/>
        <v>0</v>
      </c>
      <c r="L20" s="24">
        <f t="shared" si="6"/>
        <v>1</v>
      </c>
      <c r="M20" s="24">
        <f>COUNTIF(E20:E68,A20)</f>
        <v>1</v>
      </c>
      <c r="N20" s="13">
        <f t="shared" si="8"/>
        <v>3</v>
      </c>
    </row>
    <row r="21" spans="1:14" ht="15.75" customHeight="1" thickBot="1" x14ac:dyDescent="0.3">
      <c r="A21" s="51">
        <v>18</v>
      </c>
      <c r="B21" s="17">
        <v>1</v>
      </c>
      <c r="C21" s="18">
        <v>7</v>
      </c>
      <c r="D21" s="19" t="s">
        <v>5</v>
      </c>
      <c r="E21" s="18">
        <v>11</v>
      </c>
      <c r="G21" s="24">
        <f t="shared" si="1"/>
        <v>1</v>
      </c>
      <c r="H21" s="24">
        <f t="shared" si="2"/>
        <v>1</v>
      </c>
      <c r="I21" s="24">
        <f t="shared" si="3"/>
        <v>0</v>
      </c>
      <c r="J21" s="24">
        <f t="shared" si="4"/>
        <v>3</v>
      </c>
      <c r="K21" s="24">
        <f t="shared" si="5"/>
        <v>-2</v>
      </c>
      <c r="L21" s="24">
        <f t="shared" si="6"/>
        <v>1</v>
      </c>
      <c r="M21" s="24">
        <f>COUNTIF(E21:E68,A21)</f>
        <v>1</v>
      </c>
      <c r="N21" s="13">
        <f t="shared" si="8"/>
        <v>1</v>
      </c>
    </row>
    <row r="22" spans="1:14" ht="15.75" customHeight="1" thickBot="1" x14ac:dyDescent="0.3">
      <c r="A22" s="52">
        <v>19</v>
      </c>
      <c r="B22" s="17">
        <v>2</v>
      </c>
      <c r="C22" s="18">
        <v>12</v>
      </c>
      <c r="D22" s="19" t="s">
        <v>4</v>
      </c>
      <c r="E22" s="18">
        <v>6</v>
      </c>
      <c r="G22" s="24">
        <f t="shared" si="1"/>
        <v>1</v>
      </c>
      <c r="H22" s="24">
        <f t="shared" si="2"/>
        <v>1</v>
      </c>
      <c r="I22" s="24">
        <f t="shared" si="3"/>
        <v>0</v>
      </c>
      <c r="J22" s="24">
        <f t="shared" si="4"/>
        <v>3</v>
      </c>
      <c r="K22" s="24">
        <f t="shared" si="5"/>
        <v>-1</v>
      </c>
      <c r="L22" s="24">
        <f t="shared" si="6"/>
        <v>1</v>
      </c>
      <c r="M22" s="24">
        <f>COUNTIF(E22:E68,A22)</f>
        <v>1</v>
      </c>
      <c r="N22" s="13">
        <f t="shared" si="8"/>
        <v>2</v>
      </c>
    </row>
    <row r="23" spans="1:14" ht="15.75" customHeight="1" thickBot="1" x14ac:dyDescent="0.3">
      <c r="A23" s="53">
        <v>20</v>
      </c>
      <c r="B23" s="17">
        <v>1</v>
      </c>
      <c r="C23" s="18">
        <v>5</v>
      </c>
      <c r="D23" s="19" t="s">
        <v>5</v>
      </c>
      <c r="E23" s="18">
        <v>13</v>
      </c>
      <c r="G23" s="24">
        <f t="shared" si="1"/>
        <v>1</v>
      </c>
      <c r="H23" s="24">
        <f t="shared" si="2"/>
        <v>1</v>
      </c>
      <c r="I23" s="24">
        <f t="shared" si="3"/>
        <v>0</v>
      </c>
      <c r="J23" s="24">
        <f t="shared" si="4"/>
        <v>3</v>
      </c>
      <c r="K23" s="24">
        <f t="shared" si="5"/>
        <v>-2</v>
      </c>
      <c r="L23" s="24">
        <f t="shared" si="6"/>
        <v>1</v>
      </c>
      <c r="M23" s="24">
        <f>COUNTIF(E23:E68,A23)</f>
        <v>1</v>
      </c>
      <c r="N23" s="13">
        <f t="shared" si="8"/>
        <v>1</v>
      </c>
    </row>
    <row r="24" spans="1:14" ht="15.75" customHeight="1" thickBot="1" x14ac:dyDescent="0.3">
      <c r="A24" s="50">
        <v>21</v>
      </c>
      <c r="B24" s="17">
        <v>1</v>
      </c>
      <c r="C24" s="20">
        <v>17</v>
      </c>
      <c r="D24" s="21" t="s">
        <v>5</v>
      </c>
      <c r="E24" s="20">
        <v>57</v>
      </c>
      <c r="G24" s="24">
        <f t="shared" si="1"/>
        <v>1</v>
      </c>
      <c r="H24" s="24">
        <f t="shared" si="2"/>
        <v>1</v>
      </c>
      <c r="I24" s="24">
        <f t="shared" si="3"/>
        <v>0</v>
      </c>
      <c r="J24" s="24">
        <f t="shared" si="4"/>
        <v>3</v>
      </c>
      <c r="K24" s="24">
        <f t="shared" si="5"/>
        <v>-2</v>
      </c>
      <c r="L24" s="24">
        <f t="shared" si="6"/>
        <v>1</v>
      </c>
      <c r="M24" s="24">
        <f>COUNTIF(E24:E68,A24)</f>
        <v>1</v>
      </c>
      <c r="N24" s="13">
        <f t="shared" si="8"/>
        <v>1</v>
      </c>
    </row>
    <row r="25" spans="1:14" ht="15.75" customHeight="1" thickBot="1" x14ac:dyDescent="0.3">
      <c r="A25" s="53">
        <v>22</v>
      </c>
      <c r="B25" s="17">
        <v>1</v>
      </c>
      <c r="C25" s="20">
        <v>56</v>
      </c>
      <c r="D25" s="21" t="s">
        <v>4</v>
      </c>
      <c r="E25" s="20">
        <v>18</v>
      </c>
      <c r="G25" s="24">
        <f t="shared" si="1"/>
        <v>1</v>
      </c>
      <c r="H25" s="24">
        <f t="shared" si="2"/>
        <v>1</v>
      </c>
      <c r="I25" s="24">
        <f t="shared" si="3"/>
        <v>0</v>
      </c>
      <c r="J25" s="24">
        <f t="shared" si="4"/>
        <v>3</v>
      </c>
      <c r="K25" s="24">
        <f t="shared" si="5"/>
        <v>-2</v>
      </c>
      <c r="L25" s="24">
        <f t="shared" si="6"/>
        <v>1</v>
      </c>
      <c r="M25" s="24">
        <f>COUNTIF(E25:E68,A25)</f>
        <v>1</v>
      </c>
      <c r="N25" s="13">
        <f t="shared" si="8"/>
        <v>1</v>
      </c>
    </row>
    <row r="26" spans="1:14" ht="15.75" customHeight="1" thickBot="1" x14ac:dyDescent="0.3">
      <c r="A26" s="52">
        <v>23</v>
      </c>
      <c r="B26" s="17">
        <v>2</v>
      </c>
      <c r="C26" s="20">
        <v>19</v>
      </c>
      <c r="D26" s="21" t="s">
        <v>5</v>
      </c>
      <c r="E26" s="20">
        <v>55</v>
      </c>
      <c r="G26" s="24">
        <f t="shared" si="1"/>
        <v>1</v>
      </c>
      <c r="H26" s="24">
        <f t="shared" si="2"/>
        <v>1</v>
      </c>
      <c r="I26" s="24">
        <f t="shared" si="3"/>
        <v>0</v>
      </c>
      <c r="J26" s="24">
        <f t="shared" si="4"/>
        <v>3</v>
      </c>
      <c r="K26" s="24">
        <f t="shared" si="5"/>
        <v>-1</v>
      </c>
      <c r="L26" s="24">
        <f t="shared" si="6"/>
        <v>1</v>
      </c>
      <c r="M26" s="24">
        <f>COUNTIF(E26:E68,A26)</f>
        <v>1</v>
      </c>
      <c r="N26" s="13">
        <f t="shared" si="8"/>
        <v>2</v>
      </c>
    </row>
    <row r="27" spans="1:14" ht="15.75" customHeight="1" thickBot="1" x14ac:dyDescent="0.3">
      <c r="A27" s="51">
        <v>24</v>
      </c>
      <c r="B27" s="17">
        <v>1</v>
      </c>
      <c r="C27" s="20">
        <v>54</v>
      </c>
      <c r="D27" s="21" t="s">
        <v>4</v>
      </c>
      <c r="E27" s="20">
        <v>20</v>
      </c>
      <c r="G27" s="24">
        <f t="shared" si="1"/>
        <v>1</v>
      </c>
      <c r="H27" s="24">
        <f t="shared" si="2"/>
        <v>1</v>
      </c>
      <c r="I27" s="24">
        <f t="shared" si="3"/>
        <v>0</v>
      </c>
      <c r="J27" s="24">
        <f t="shared" si="4"/>
        <v>3</v>
      </c>
      <c r="K27" s="24">
        <f t="shared" si="5"/>
        <v>-2</v>
      </c>
      <c r="L27" s="24">
        <f t="shared" si="6"/>
        <v>1</v>
      </c>
      <c r="M27" s="24">
        <f>COUNTIF(E27:E68,A27)</f>
        <v>1</v>
      </c>
      <c r="N27" s="13">
        <f t="shared" si="8"/>
        <v>1</v>
      </c>
    </row>
    <row r="28" spans="1:14" ht="15.75" customHeight="1" thickBot="1" x14ac:dyDescent="0.3">
      <c r="A28" s="16">
        <v>25</v>
      </c>
      <c r="B28" s="17">
        <v>3</v>
      </c>
      <c r="C28" s="18">
        <v>18</v>
      </c>
      <c r="D28" s="19" t="s">
        <v>4</v>
      </c>
      <c r="E28" s="18">
        <v>16</v>
      </c>
      <c r="G28" s="24">
        <f t="shared" si="1"/>
        <v>1</v>
      </c>
      <c r="H28" s="24">
        <f t="shared" si="2"/>
        <v>1</v>
      </c>
      <c r="I28" s="24">
        <f t="shared" si="3"/>
        <v>0</v>
      </c>
      <c r="J28" s="24">
        <f t="shared" si="4"/>
        <v>3</v>
      </c>
      <c r="K28" s="24">
        <f t="shared" si="5"/>
        <v>0</v>
      </c>
      <c r="L28" s="24">
        <f t="shared" si="6"/>
        <v>1</v>
      </c>
      <c r="M28" s="24">
        <f>COUNTIF(E28:E68,A28)</f>
        <v>1</v>
      </c>
      <c r="N28" s="13">
        <f t="shared" si="8"/>
        <v>3</v>
      </c>
    </row>
    <row r="29" spans="1:14" ht="15.75" customHeight="1" thickBot="1" x14ac:dyDescent="0.3">
      <c r="A29" s="51">
        <v>26</v>
      </c>
      <c r="B29" s="17">
        <v>1</v>
      </c>
      <c r="C29" s="18">
        <v>15</v>
      </c>
      <c r="D29" s="19" t="s">
        <v>5</v>
      </c>
      <c r="E29" s="18">
        <v>19</v>
      </c>
      <c r="G29" s="24">
        <f t="shared" si="1"/>
        <v>1</v>
      </c>
      <c r="H29" s="24">
        <f t="shared" si="2"/>
        <v>1</v>
      </c>
      <c r="I29" s="24">
        <f t="shared" si="3"/>
        <v>0</v>
      </c>
      <c r="J29" s="24">
        <f t="shared" si="4"/>
        <v>3</v>
      </c>
      <c r="K29" s="24">
        <f t="shared" si="5"/>
        <v>-2</v>
      </c>
      <c r="L29" s="24">
        <f t="shared" si="6"/>
        <v>1</v>
      </c>
      <c r="M29" s="24">
        <f>COUNTIF(E29:E68,A29)</f>
        <v>1</v>
      </c>
      <c r="N29" s="13">
        <f t="shared" si="8"/>
        <v>1</v>
      </c>
    </row>
    <row r="30" spans="1:14" ht="15.75" customHeight="1" thickBot="1" x14ac:dyDescent="0.3">
      <c r="A30" s="52">
        <v>27</v>
      </c>
      <c r="B30" s="17">
        <v>2</v>
      </c>
      <c r="C30" s="18">
        <v>20</v>
      </c>
      <c r="D30" s="19" t="s">
        <v>4</v>
      </c>
      <c r="E30" s="18">
        <v>14</v>
      </c>
      <c r="G30" s="24">
        <f t="shared" si="1"/>
        <v>1</v>
      </c>
      <c r="H30" s="24">
        <f t="shared" si="2"/>
        <v>1</v>
      </c>
      <c r="I30" s="24">
        <f t="shared" si="3"/>
        <v>0</v>
      </c>
      <c r="J30" s="24">
        <f t="shared" si="4"/>
        <v>3</v>
      </c>
      <c r="K30" s="24">
        <f t="shared" si="5"/>
        <v>-1</v>
      </c>
      <c r="L30" s="24">
        <f t="shared" si="6"/>
        <v>1</v>
      </c>
      <c r="M30" s="24">
        <f>COUNTIF(E30:E68,A30)</f>
        <v>1</v>
      </c>
      <c r="N30" s="13">
        <f t="shared" si="8"/>
        <v>2</v>
      </c>
    </row>
    <row r="31" spans="1:14" ht="15.75" customHeight="1" thickBot="1" x14ac:dyDescent="0.3">
      <c r="A31" s="53">
        <v>28</v>
      </c>
      <c r="B31" s="17">
        <v>1</v>
      </c>
      <c r="C31" s="18">
        <v>13</v>
      </c>
      <c r="D31" s="19" t="s">
        <v>5</v>
      </c>
      <c r="E31" s="18">
        <v>21</v>
      </c>
      <c r="G31" s="24">
        <f t="shared" si="1"/>
        <v>1</v>
      </c>
      <c r="H31" s="24">
        <f t="shared" si="2"/>
        <v>1</v>
      </c>
      <c r="I31" s="24">
        <f t="shared" si="3"/>
        <v>0</v>
      </c>
      <c r="J31" s="24">
        <f t="shared" si="4"/>
        <v>3</v>
      </c>
      <c r="K31" s="24">
        <f t="shared" si="5"/>
        <v>-2</v>
      </c>
      <c r="L31" s="24">
        <f t="shared" si="6"/>
        <v>1</v>
      </c>
      <c r="M31" s="24">
        <f>COUNTIF(E31:E68,A31)</f>
        <v>1</v>
      </c>
      <c r="N31" s="13">
        <f t="shared" si="8"/>
        <v>1</v>
      </c>
    </row>
    <row r="32" spans="1:14" ht="15.75" customHeight="1" thickBot="1" x14ac:dyDescent="0.3">
      <c r="A32" s="50">
        <v>29</v>
      </c>
      <c r="B32" s="17">
        <v>1</v>
      </c>
      <c r="C32" s="20">
        <v>25</v>
      </c>
      <c r="D32" s="21" t="s">
        <v>5</v>
      </c>
      <c r="E32" s="20">
        <v>1</v>
      </c>
      <c r="G32" s="24">
        <f t="shared" si="1"/>
        <v>1</v>
      </c>
      <c r="H32" s="24">
        <f t="shared" si="2"/>
        <v>1</v>
      </c>
      <c r="I32" s="24">
        <f t="shared" si="3"/>
        <v>0</v>
      </c>
      <c r="J32" s="24">
        <f t="shared" si="4"/>
        <v>3</v>
      </c>
      <c r="K32" s="24">
        <f t="shared" si="5"/>
        <v>-2</v>
      </c>
      <c r="L32" s="24">
        <f t="shared" si="6"/>
        <v>1</v>
      </c>
      <c r="M32" s="24">
        <f>COUNTIF(E32:E68,A32)</f>
        <v>1</v>
      </c>
      <c r="N32" s="13">
        <f t="shared" si="8"/>
        <v>1</v>
      </c>
    </row>
    <row r="33" spans="1:14" ht="15.75" customHeight="1" thickBot="1" x14ac:dyDescent="0.3">
      <c r="A33" s="53">
        <v>30</v>
      </c>
      <c r="B33" s="17">
        <v>1</v>
      </c>
      <c r="C33" s="20">
        <v>64</v>
      </c>
      <c r="D33" s="21" t="s">
        <v>4</v>
      </c>
      <c r="E33" s="20">
        <v>26</v>
      </c>
      <c r="G33" s="24">
        <f t="shared" si="1"/>
        <v>1</v>
      </c>
      <c r="H33" s="24">
        <f t="shared" si="2"/>
        <v>1</v>
      </c>
      <c r="I33" s="24">
        <f t="shared" si="3"/>
        <v>0</v>
      </c>
      <c r="J33" s="24">
        <f t="shared" si="4"/>
        <v>3</v>
      </c>
      <c r="K33" s="24">
        <f t="shared" si="5"/>
        <v>-2</v>
      </c>
      <c r="L33" s="24">
        <f t="shared" si="6"/>
        <v>1</v>
      </c>
      <c r="M33" s="24">
        <f>COUNTIF(E33:E68,A33)</f>
        <v>1</v>
      </c>
      <c r="N33" s="13">
        <f t="shared" si="8"/>
        <v>1</v>
      </c>
    </row>
    <row r="34" spans="1:14" ht="15.75" customHeight="1" thickBot="1" x14ac:dyDescent="0.3">
      <c r="A34" s="52">
        <v>31</v>
      </c>
      <c r="B34" s="17">
        <v>2</v>
      </c>
      <c r="C34" s="20">
        <v>27</v>
      </c>
      <c r="D34" s="21" t="s">
        <v>5</v>
      </c>
      <c r="E34" s="20">
        <v>63</v>
      </c>
      <c r="G34" s="24">
        <f t="shared" si="1"/>
        <v>1</v>
      </c>
      <c r="H34" s="24">
        <f t="shared" si="2"/>
        <v>1</v>
      </c>
      <c r="I34" s="24">
        <f t="shared" si="3"/>
        <v>0</v>
      </c>
      <c r="J34" s="24">
        <f t="shared" si="4"/>
        <v>3</v>
      </c>
      <c r="K34" s="24">
        <f t="shared" si="5"/>
        <v>-1</v>
      </c>
      <c r="L34" s="24">
        <f t="shared" si="6"/>
        <v>1</v>
      </c>
      <c r="M34" s="24">
        <f>COUNTIF(E34:E68,A34)</f>
        <v>1</v>
      </c>
      <c r="N34" s="13">
        <f t="shared" si="8"/>
        <v>2</v>
      </c>
    </row>
    <row r="35" spans="1:14" ht="15.75" customHeight="1" thickBot="1" x14ac:dyDescent="0.3">
      <c r="A35" s="51">
        <v>32</v>
      </c>
      <c r="B35" s="17">
        <v>1</v>
      </c>
      <c r="C35" s="20">
        <v>62</v>
      </c>
      <c r="D35" s="21" t="s">
        <v>4</v>
      </c>
      <c r="E35" s="20">
        <v>28</v>
      </c>
      <c r="G35" s="24">
        <f t="shared" si="1"/>
        <v>1</v>
      </c>
      <c r="H35" s="24">
        <f t="shared" si="2"/>
        <v>1</v>
      </c>
      <c r="I35" s="24">
        <f t="shared" si="3"/>
        <v>0</v>
      </c>
      <c r="J35" s="24">
        <f t="shared" si="4"/>
        <v>3</v>
      </c>
      <c r="K35" s="24">
        <f t="shared" si="5"/>
        <v>-2</v>
      </c>
      <c r="L35" s="24">
        <f t="shared" si="6"/>
        <v>1</v>
      </c>
      <c r="M35" s="24">
        <f>COUNTIF(E35:E68,A35)</f>
        <v>1</v>
      </c>
      <c r="N35" s="13">
        <f t="shared" si="8"/>
        <v>1</v>
      </c>
    </row>
    <row r="36" spans="1:14" ht="15.75" customHeight="1" thickBot="1" x14ac:dyDescent="0.3">
      <c r="A36" s="16">
        <v>33</v>
      </c>
      <c r="B36" s="17">
        <v>3</v>
      </c>
      <c r="C36" s="18">
        <v>26</v>
      </c>
      <c r="D36" s="19" t="s">
        <v>4</v>
      </c>
      <c r="E36" s="18">
        <v>24</v>
      </c>
      <c r="G36" s="24">
        <f t="shared" si="1"/>
        <v>1</v>
      </c>
      <c r="H36" s="24">
        <f t="shared" si="2"/>
        <v>1</v>
      </c>
      <c r="I36" s="24">
        <f t="shared" si="3"/>
        <v>0</v>
      </c>
      <c r="J36" s="24">
        <f t="shared" si="4"/>
        <v>3</v>
      </c>
      <c r="K36" s="24">
        <f t="shared" si="5"/>
        <v>0</v>
      </c>
      <c r="L36" s="24">
        <f t="shared" si="6"/>
        <v>1</v>
      </c>
      <c r="M36" s="24">
        <f>COUNTIF(E36:E68,A36)</f>
        <v>1</v>
      </c>
      <c r="N36" s="13">
        <f t="shared" si="8"/>
        <v>3</v>
      </c>
    </row>
    <row r="37" spans="1:14" ht="15.75" customHeight="1" thickBot="1" x14ac:dyDescent="0.3">
      <c r="A37" s="51">
        <v>34</v>
      </c>
      <c r="B37" s="17">
        <v>1</v>
      </c>
      <c r="C37" s="18">
        <v>23</v>
      </c>
      <c r="D37" s="19" t="s">
        <v>5</v>
      </c>
      <c r="E37" s="18">
        <v>27</v>
      </c>
      <c r="G37" s="24">
        <f t="shared" si="1"/>
        <v>1</v>
      </c>
      <c r="H37" s="24">
        <f t="shared" si="2"/>
        <v>1</v>
      </c>
      <c r="I37" s="24">
        <f t="shared" si="3"/>
        <v>0</v>
      </c>
      <c r="J37" s="24">
        <f t="shared" si="4"/>
        <v>3</v>
      </c>
      <c r="K37" s="24">
        <f t="shared" si="5"/>
        <v>-2</v>
      </c>
      <c r="L37" s="24">
        <f t="shared" si="6"/>
        <v>1</v>
      </c>
      <c r="M37" s="24">
        <f>COUNTIF(E37:E68,A37)</f>
        <v>1</v>
      </c>
      <c r="N37" s="13">
        <f t="shared" si="8"/>
        <v>1</v>
      </c>
    </row>
    <row r="38" spans="1:14" ht="15.75" customHeight="1" thickBot="1" x14ac:dyDescent="0.3">
      <c r="A38" s="52">
        <v>35</v>
      </c>
      <c r="B38" s="17">
        <v>2</v>
      </c>
      <c r="C38" s="18">
        <v>28</v>
      </c>
      <c r="D38" s="19" t="s">
        <v>4</v>
      </c>
      <c r="E38" s="18">
        <v>22</v>
      </c>
      <c r="G38" s="24">
        <f t="shared" si="1"/>
        <v>1</v>
      </c>
      <c r="H38" s="24">
        <f t="shared" si="2"/>
        <v>1</v>
      </c>
      <c r="I38" s="24">
        <f t="shared" si="3"/>
        <v>0</v>
      </c>
      <c r="J38" s="24">
        <f t="shared" si="4"/>
        <v>3</v>
      </c>
      <c r="K38" s="24">
        <f t="shared" si="5"/>
        <v>-1</v>
      </c>
      <c r="L38" s="24">
        <f t="shared" si="6"/>
        <v>1</v>
      </c>
      <c r="M38" s="24">
        <f>COUNTIF(E38:E68,A38)</f>
        <v>1</v>
      </c>
      <c r="N38" s="13">
        <f t="shared" si="8"/>
        <v>2</v>
      </c>
    </row>
    <row r="39" spans="1:14" ht="15.75" customHeight="1" thickBot="1" x14ac:dyDescent="0.3">
      <c r="A39" s="53">
        <v>36</v>
      </c>
      <c r="B39" s="17">
        <v>1</v>
      </c>
      <c r="C39" s="18">
        <v>21</v>
      </c>
      <c r="D39" s="19" t="s">
        <v>5</v>
      </c>
      <c r="E39" s="18">
        <v>29</v>
      </c>
      <c r="G39" s="24">
        <f t="shared" si="1"/>
        <v>1</v>
      </c>
      <c r="H39" s="24">
        <f t="shared" si="2"/>
        <v>1</v>
      </c>
      <c r="I39" s="24">
        <f t="shared" si="3"/>
        <v>0</v>
      </c>
      <c r="J39" s="24">
        <f t="shared" si="4"/>
        <v>3</v>
      </c>
      <c r="K39" s="24">
        <f t="shared" si="5"/>
        <v>-2</v>
      </c>
      <c r="L39" s="24">
        <f t="shared" si="6"/>
        <v>1</v>
      </c>
      <c r="M39" s="24">
        <f>COUNTIF(E39:E68,A39)</f>
        <v>1</v>
      </c>
      <c r="N39" s="13">
        <f t="shared" si="8"/>
        <v>1</v>
      </c>
    </row>
    <row r="40" spans="1:14" ht="15.75" customHeight="1" thickBot="1" x14ac:dyDescent="0.3">
      <c r="A40" s="50">
        <v>37</v>
      </c>
      <c r="B40" s="17">
        <v>1</v>
      </c>
      <c r="C40" s="20">
        <v>33</v>
      </c>
      <c r="D40" s="21" t="s">
        <v>5</v>
      </c>
      <c r="E40" s="20">
        <v>9</v>
      </c>
      <c r="G40" s="24">
        <f t="shared" si="1"/>
        <v>1</v>
      </c>
      <c r="H40" s="24">
        <f t="shared" si="2"/>
        <v>1</v>
      </c>
      <c r="I40" s="24">
        <f t="shared" si="3"/>
        <v>0</v>
      </c>
      <c r="J40" s="24">
        <f t="shared" si="4"/>
        <v>3</v>
      </c>
      <c r="K40" s="24">
        <f t="shared" si="5"/>
        <v>-2</v>
      </c>
      <c r="L40" s="24">
        <f t="shared" si="6"/>
        <v>1</v>
      </c>
      <c r="M40" s="24">
        <f>COUNTIF(E40:E68,A40)</f>
        <v>1</v>
      </c>
      <c r="N40" s="13">
        <f t="shared" si="8"/>
        <v>1</v>
      </c>
    </row>
    <row r="41" spans="1:14" ht="15.75" customHeight="1" thickBot="1" x14ac:dyDescent="0.3">
      <c r="A41" s="53">
        <v>38</v>
      </c>
      <c r="B41" s="17">
        <v>2</v>
      </c>
      <c r="C41" s="20">
        <v>8</v>
      </c>
      <c r="D41" s="21" t="s">
        <v>4</v>
      </c>
      <c r="E41" s="20">
        <v>34</v>
      </c>
      <c r="G41" s="24">
        <f t="shared" si="1"/>
        <v>1</v>
      </c>
      <c r="H41" s="24">
        <f t="shared" si="2"/>
        <v>1</v>
      </c>
      <c r="I41" s="24">
        <f t="shared" si="3"/>
        <v>0</v>
      </c>
      <c r="J41" s="24">
        <f t="shared" si="4"/>
        <v>3</v>
      </c>
      <c r="K41" s="24">
        <f t="shared" si="5"/>
        <v>-1</v>
      </c>
      <c r="L41" s="24">
        <f t="shared" si="6"/>
        <v>1</v>
      </c>
      <c r="M41" s="24">
        <f>COUNTIF(E41:E68,A41)</f>
        <v>1</v>
      </c>
      <c r="N41" s="13">
        <f t="shared" si="8"/>
        <v>2</v>
      </c>
    </row>
    <row r="42" spans="1:14" ht="15.75" customHeight="1" thickBot="1" x14ac:dyDescent="0.3">
      <c r="A42" s="52">
        <v>39</v>
      </c>
      <c r="B42" s="17">
        <v>1</v>
      </c>
      <c r="C42" s="20">
        <v>35</v>
      </c>
      <c r="D42" s="21" t="s">
        <v>5</v>
      </c>
      <c r="E42" s="20">
        <v>7</v>
      </c>
      <c r="G42" s="24">
        <f t="shared" si="1"/>
        <v>1</v>
      </c>
      <c r="H42" s="24">
        <f t="shared" si="2"/>
        <v>1</v>
      </c>
      <c r="I42" s="24">
        <f t="shared" si="3"/>
        <v>0</v>
      </c>
      <c r="J42" s="24">
        <f t="shared" si="4"/>
        <v>3</v>
      </c>
      <c r="K42" s="24">
        <f t="shared" si="5"/>
        <v>-2</v>
      </c>
      <c r="L42" s="24">
        <f t="shared" si="6"/>
        <v>1</v>
      </c>
      <c r="M42" s="24">
        <f>COUNTIF(E42:E68,A42)</f>
        <v>0</v>
      </c>
      <c r="N42" s="13">
        <f t="shared" si="8"/>
        <v>1</v>
      </c>
    </row>
    <row r="43" spans="1:14" ht="15.75" customHeight="1" thickBot="1" x14ac:dyDescent="0.3">
      <c r="A43" s="51">
        <v>40</v>
      </c>
      <c r="B43" s="17">
        <v>2</v>
      </c>
      <c r="C43" s="20">
        <v>6</v>
      </c>
      <c r="D43" s="21" t="s">
        <v>4</v>
      </c>
      <c r="E43" s="20">
        <v>36</v>
      </c>
      <c r="G43" s="24">
        <f t="shared" si="1"/>
        <v>1</v>
      </c>
      <c r="H43" s="24">
        <f t="shared" si="2"/>
        <v>1</v>
      </c>
      <c r="I43" s="24">
        <f t="shared" si="3"/>
        <v>0</v>
      </c>
      <c r="J43" s="24">
        <f t="shared" si="4"/>
        <v>3</v>
      </c>
      <c r="K43" s="24">
        <f t="shared" si="5"/>
        <v>-1</v>
      </c>
      <c r="L43" s="24">
        <f t="shared" si="6"/>
        <v>1</v>
      </c>
      <c r="M43" s="24">
        <f>COUNTIF(E43:E68,A43)</f>
        <v>1</v>
      </c>
      <c r="N43" s="13">
        <f t="shared" si="8"/>
        <v>2</v>
      </c>
    </row>
    <row r="44" spans="1:14" ht="15.75" customHeight="1" thickBot="1" x14ac:dyDescent="0.3">
      <c r="A44" s="16">
        <v>41</v>
      </c>
      <c r="B44" s="17">
        <v>2</v>
      </c>
      <c r="C44" s="18">
        <v>34</v>
      </c>
      <c r="D44" s="19" t="s">
        <v>4</v>
      </c>
      <c r="E44" s="18">
        <v>32</v>
      </c>
      <c r="G44" s="24">
        <f t="shared" si="1"/>
        <v>1</v>
      </c>
      <c r="H44" s="24">
        <f t="shared" si="2"/>
        <v>1</v>
      </c>
      <c r="I44" s="24">
        <f t="shared" si="3"/>
        <v>0</v>
      </c>
      <c r="J44" s="24">
        <f t="shared" si="4"/>
        <v>3</v>
      </c>
      <c r="K44" s="24">
        <f t="shared" si="5"/>
        <v>-1</v>
      </c>
      <c r="L44" s="24">
        <f t="shared" si="6"/>
        <v>1</v>
      </c>
      <c r="M44" s="24">
        <f>COUNTIF(E44:E68,A44)</f>
        <v>0</v>
      </c>
      <c r="N44" s="13">
        <f t="shared" si="8"/>
        <v>2</v>
      </c>
    </row>
    <row r="45" spans="1:14" ht="15.75" customHeight="1" thickBot="1" x14ac:dyDescent="0.3">
      <c r="A45" s="51">
        <v>42</v>
      </c>
      <c r="B45" s="17">
        <v>1</v>
      </c>
      <c r="C45" s="18">
        <v>31</v>
      </c>
      <c r="D45" s="19" t="s">
        <v>5</v>
      </c>
      <c r="E45" s="18">
        <v>35</v>
      </c>
      <c r="G45" s="24">
        <f t="shared" si="1"/>
        <v>1</v>
      </c>
      <c r="H45" s="24">
        <f t="shared" si="2"/>
        <v>1</v>
      </c>
      <c r="I45" s="24">
        <f t="shared" si="3"/>
        <v>0</v>
      </c>
      <c r="J45" s="24">
        <f t="shared" si="4"/>
        <v>3</v>
      </c>
      <c r="K45" s="24">
        <f t="shared" si="5"/>
        <v>-2</v>
      </c>
      <c r="L45" s="24">
        <f t="shared" si="6"/>
        <v>1</v>
      </c>
      <c r="M45" s="24">
        <f>COUNTIF(E45:E68,A45)</f>
        <v>1</v>
      </c>
      <c r="N45" s="13">
        <f t="shared" si="8"/>
        <v>1</v>
      </c>
    </row>
    <row r="46" spans="1:14" ht="15.75" customHeight="1" thickBot="1" x14ac:dyDescent="0.3">
      <c r="A46" s="52">
        <v>43</v>
      </c>
      <c r="B46" s="17">
        <v>2</v>
      </c>
      <c r="C46" s="18">
        <v>36</v>
      </c>
      <c r="D46" s="19" t="s">
        <v>4</v>
      </c>
      <c r="E46" s="18">
        <v>30</v>
      </c>
      <c r="G46" s="24">
        <f t="shared" si="1"/>
        <v>1</v>
      </c>
      <c r="H46" s="24">
        <f t="shared" si="2"/>
        <v>1</v>
      </c>
      <c r="I46" s="24">
        <f t="shared" si="3"/>
        <v>0</v>
      </c>
      <c r="J46" s="24">
        <f t="shared" si="4"/>
        <v>3</v>
      </c>
      <c r="K46" s="24">
        <f t="shared" si="5"/>
        <v>-1</v>
      </c>
      <c r="L46" s="24">
        <f t="shared" si="6"/>
        <v>1</v>
      </c>
      <c r="M46" s="24">
        <f>COUNTIF(E46:E68,A46)</f>
        <v>1</v>
      </c>
      <c r="N46" s="13">
        <f t="shared" si="8"/>
        <v>2</v>
      </c>
    </row>
    <row r="47" spans="1:14" ht="15.75" customHeight="1" thickBot="1" x14ac:dyDescent="0.3">
      <c r="A47" s="53">
        <v>44</v>
      </c>
      <c r="B47" s="17">
        <v>1</v>
      </c>
      <c r="C47" s="18">
        <v>29</v>
      </c>
      <c r="D47" s="19" t="s">
        <v>5</v>
      </c>
      <c r="E47" s="18">
        <v>37</v>
      </c>
      <c r="G47" s="24">
        <f t="shared" si="1"/>
        <v>1</v>
      </c>
      <c r="H47" s="24">
        <f t="shared" si="2"/>
        <v>1</v>
      </c>
      <c r="I47" s="24">
        <f t="shared" si="3"/>
        <v>0</v>
      </c>
      <c r="J47" s="24">
        <f t="shared" si="4"/>
        <v>3</v>
      </c>
      <c r="K47" s="24">
        <f t="shared" si="5"/>
        <v>-2</v>
      </c>
      <c r="L47" s="24">
        <f t="shared" si="6"/>
        <v>1</v>
      </c>
      <c r="M47" s="24">
        <f>COUNTIF(E47:E68,A47)</f>
        <v>1</v>
      </c>
      <c r="N47" s="13">
        <f t="shared" si="8"/>
        <v>1</v>
      </c>
    </row>
    <row r="48" spans="1:14" ht="15.75" customHeight="1" thickBot="1" x14ac:dyDescent="0.3">
      <c r="A48" s="50">
        <v>45</v>
      </c>
      <c r="B48" s="17">
        <v>1</v>
      </c>
      <c r="C48" s="20">
        <v>41</v>
      </c>
      <c r="D48" s="21" t="s">
        <v>5</v>
      </c>
      <c r="E48" s="20">
        <v>17</v>
      </c>
      <c r="G48" s="24">
        <f t="shared" si="1"/>
        <v>1</v>
      </c>
      <c r="H48" s="24">
        <f t="shared" si="2"/>
        <v>1</v>
      </c>
      <c r="I48" s="24">
        <f t="shared" si="3"/>
        <v>0</v>
      </c>
      <c r="J48" s="24">
        <f t="shared" si="4"/>
        <v>3</v>
      </c>
      <c r="K48" s="24">
        <f t="shared" si="5"/>
        <v>-2</v>
      </c>
      <c r="L48" s="24">
        <f t="shared" si="6"/>
        <v>1</v>
      </c>
      <c r="M48" s="24">
        <f>COUNTIF(E48:E68,A48)</f>
        <v>1</v>
      </c>
      <c r="N48" s="13">
        <f t="shared" si="8"/>
        <v>1</v>
      </c>
    </row>
    <row r="49" spans="1:14" ht="15.75" customHeight="1" thickBot="1" x14ac:dyDescent="0.3">
      <c r="A49" s="53">
        <v>46</v>
      </c>
      <c r="B49" s="17">
        <v>2</v>
      </c>
      <c r="C49" s="20">
        <v>16</v>
      </c>
      <c r="D49" s="21" t="s">
        <v>4</v>
      </c>
      <c r="E49" s="20">
        <v>42</v>
      </c>
      <c r="G49" s="24">
        <f t="shared" si="1"/>
        <v>1</v>
      </c>
      <c r="H49" s="24">
        <f t="shared" si="2"/>
        <v>1</v>
      </c>
      <c r="I49" s="24">
        <f t="shared" si="3"/>
        <v>0</v>
      </c>
      <c r="J49" s="24">
        <f t="shared" si="4"/>
        <v>3</v>
      </c>
      <c r="K49" s="24">
        <f t="shared" si="5"/>
        <v>-1</v>
      </c>
      <c r="L49" s="24">
        <f t="shared" si="6"/>
        <v>1</v>
      </c>
      <c r="M49" s="24">
        <f>COUNTIF(E49:E68,A49)</f>
        <v>1</v>
      </c>
      <c r="N49" s="13">
        <f t="shared" si="8"/>
        <v>2</v>
      </c>
    </row>
    <row r="50" spans="1:14" ht="15.75" customHeight="1" thickBot="1" x14ac:dyDescent="0.3">
      <c r="A50" s="52">
        <v>47</v>
      </c>
      <c r="B50" s="17">
        <v>1</v>
      </c>
      <c r="C50" s="20">
        <v>43</v>
      </c>
      <c r="D50" s="21" t="s">
        <v>5</v>
      </c>
      <c r="E50" s="20">
        <v>15</v>
      </c>
      <c r="G50" s="24">
        <f t="shared" si="1"/>
        <v>1</v>
      </c>
      <c r="H50" s="24">
        <f t="shared" si="2"/>
        <v>1</v>
      </c>
      <c r="I50" s="24">
        <f t="shared" si="3"/>
        <v>0</v>
      </c>
      <c r="J50" s="24">
        <f t="shared" si="4"/>
        <v>3</v>
      </c>
      <c r="K50" s="24">
        <f t="shared" si="5"/>
        <v>-2</v>
      </c>
      <c r="L50" s="24">
        <f t="shared" si="6"/>
        <v>1</v>
      </c>
      <c r="M50" s="24">
        <f>COUNTIF(E50:E68,A50)</f>
        <v>0</v>
      </c>
      <c r="N50" s="13">
        <f t="shared" si="8"/>
        <v>1</v>
      </c>
    </row>
    <row r="51" spans="1:14" ht="15.75" customHeight="1" thickBot="1" x14ac:dyDescent="0.3">
      <c r="A51" s="51">
        <v>48</v>
      </c>
      <c r="B51" s="17">
        <v>2</v>
      </c>
      <c r="C51" s="20">
        <v>14</v>
      </c>
      <c r="D51" s="21" t="s">
        <v>4</v>
      </c>
      <c r="E51" s="20">
        <v>44</v>
      </c>
      <c r="G51" s="24">
        <f t="shared" si="1"/>
        <v>1</v>
      </c>
      <c r="H51" s="24">
        <f t="shared" si="2"/>
        <v>1</v>
      </c>
      <c r="I51" s="24">
        <f t="shared" si="3"/>
        <v>0</v>
      </c>
      <c r="J51" s="24">
        <f t="shared" si="4"/>
        <v>3</v>
      </c>
      <c r="K51" s="24">
        <f t="shared" si="5"/>
        <v>-1</v>
      </c>
      <c r="L51" s="24">
        <f t="shared" si="6"/>
        <v>1</v>
      </c>
      <c r="M51" s="24">
        <f>COUNTIF(E51:E68,A51)</f>
        <v>1</v>
      </c>
      <c r="N51" s="13">
        <f t="shared" si="8"/>
        <v>2</v>
      </c>
    </row>
    <row r="52" spans="1:14" ht="15.75" customHeight="1" thickBot="1" x14ac:dyDescent="0.3">
      <c r="A52" s="16">
        <v>49</v>
      </c>
      <c r="B52" s="17">
        <v>2</v>
      </c>
      <c r="C52" s="18">
        <v>42</v>
      </c>
      <c r="D52" s="19" t="s">
        <v>4</v>
      </c>
      <c r="E52" s="18">
        <v>40</v>
      </c>
      <c r="G52" s="24">
        <f t="shared" si="1"/>
        <v>1</v>
      </c>
      <c r="H52" s="24">
        <f t="shared" si="2"/>
        <v>1</v>
      </c>
      <c r="I52" s="24">
        <f t="shared" si="3"/>
        <v>0</v>
      </c>
      <c r="J52" s="24">
        <f t="shared" si="4"/>
        <v>3</v>
      </c>
      <c r="K52" s="24">
        <f t="shared" si="5"/>
        <v>-1</v>
      </c>
      <c r="L52" s="24">
        <f t="shared" si="6"/>
        <v>1</v>
      </c>
      <c r="M52" s="24">
        <f>COUNTIF(E52:E68,A52)</f>
        <v>0</v>
      </c>
      <c r="N52" s="13">
        <f t="shared" si="8"/>
        <v>2</v>
      </c>
    </row>
    <row r="53" spans="1:14" ht="15.75" customHeight="1" thickBot="1" x14ac:dyDescent="0.3">
      <c r="A53" s="51">
        <v>50</v>
      </c>
      <c r="B53" s="17">
        <v>1</v>
      </c>
      <c r="C53" s="18">
        <v>39</v>
      </c>
      <c r="D53" s="19" t="s">
        <v>5</v>
      </c>
      <c r="E53" s="18">
        <v>43</v>
      </c>
      <c r="G53" s="24">
        <f t="shared" si="1"/>
        <v>1</v>
      </c>
      <c r="H53" s="24">
        <f t="shared" si="2"/>
        <v>1</v>
      </c>
      <c r="I53" s="24">
        <f t="shared" si="3"/>
        <v>0</v>
      </c>
      <c r="J53" s="24">
        <f t="shared" si="4"/>
        <v>3</v>
      </c>
      <c r="K53" s="24">
        <f t="shared" si="5"/>
        <v>-2</v>
      </c>
      <c r="L53" s="24">
        <f t="shared" si="6"/>
        <v>1</v>
      </c>
      <c r="M53" s="24">
        <f>COUNTIF(E53:E68,A53)</f>
        <v>1</v>
      </c>
      <c r="N53" s="13">
        <f t="shared" si="8"/>
        <v>1</v>
      </c>
    </row>
    <row r="54" spans="1:14" ht="15.75" customHeight="1" thickBot="1" x14ac:dyDescent="0.3">
      <c r="A54" s="52">
        <v>51</v>
      </c>
      <c r="B54" s="17">
        <v>2</v>
      </c>
      <c r="C54" s="18">
        <v>44</v>
      </c>
      <c r="D54" s="19" t="s">
        <v>4</v>
      </c>
      <c r="E54" s="18">
        <v>38</v>
      </c>
      <c r="G54" s="24">
        <f t="shared" si="1"/>
        <v>1</v>
      </c>
      <c r="H54" s="24">
        <f t="shared" si="2"/>
        <v>1</v>
      </c>
      <c r="I54" s="24">
        <f t="shared" si="3"/>
        <v>0</v>
      </c>
      <c r="J54" s="24">
        <f t="shared" si="4"/>
        <v>3</v>
      </c>
      <c r="K54" s="24">
        <f t="shared" si="5"/>
        <v>-1</v>
      </c>
      <c r="L54" s="24">
        <f t="shared" si="6"/>
        <v>1</v>
      </c>
      <c r="M54" s="24">
        <f>COUNTIF(E54:E68,A54)</f>
        <v>1</v>
      </c>
      <c r="N54" s="13">
        <f t="shared" si="8"/>
        <v>2</v>
      </c>
    </row>
    <row r="55" spans="1:14" ht="15.75" customHeight="1" thickBot="1" x14ac:dyDescent="0.3">
      <c r="A55" s="53">
        <v>52</v>
      </c>
      <c r="B55" s="17">
        <v>1</v>
      </c>
      <c r="C55" s="18">
        <v>37</v>
      </c>
      <c r="D55" s="19" t="s">
        <v>5</v>
      </c>
      <c r="E55" s="18">
        <v>45</v>
      </c>
      <c r="G55" s="24">
        <f t="shared" si="1"/>
        <v>1</v>
      </c>
      <c r="H55" s="24">
        <f t="shared" si="2"/>
        <v>1</v>
      </c>
      <c r="I55" s="24">
        <f t="shared" si="3"/>
        <v>0</v>
      </c>
      <c r="J55" s="24">
        <f t="shared" si="4"/>
        <v>3</v>
      </c>
      <c r="K55" s="24">
        <f t="shared" si="5"/>
        <v>-2</v>
      </c>
      <c r="L55" s="24">
        <f t="shared" si="6"/>
        <v>1</v>
      </c>
      <c r="M55" s="24">
        <f>COUNTIF(E55:E68,A55)</f>
        <v>1</v>
      </c>
      <c r="N55" s="13">
        <f t="shared" si="8"/>
        <v>1</v>
      </c>
    </row>
    <row r="56" spans="1:14" ht="15.75" customHeight="1" thickBot="1" x14ac:dyDescent="0.3">
      <c r="A56" s="50">
        <v>53</v>
      </c>
      <c r="B56" s="17">
        <v>2</v>
      </c>
      <c r="C56" s="20">
        <v>49</v>
      </c>
      <c r="D56" s="21" t="s">
        <v>5</v>
      </c>
      <c r="E56" s="20">
        <v>25</v>
      </c>
      <c r="G56" s="24">
        <f t="shared" si="1"/>
        <v>1</v>
      </c>
      <c r="H56" s="24">
        <f t="shared" si="2"/>
        <v>1</v>
      </c>
      <c r="I56" s="24">
        <f t="shared" si="3"/>
        <v>0</v>
      </c>
      <c r="J56" s="24">
        <f t="shared" si="4"/>
        <v>3</v>
      </c>
      <c r="K56" s="24">
        <f t="shared" si="5"/>
        <v>-1</v>
      </c>
      <c r="L56" s="24">
        <f t="shared" si="6"/>
        <v>1</v>
      </c>
      <c r="M56" s="24">
        <f>COUNTIF(E56:E68,A56)</f>
        <v>1</v>
      </c>
      <c r="N56" s="13">
        <f t="shared" si="8"/>
        <v>2</v>
      </c>
    </row>
    <row r="57" spans="1:14" ht="15.75" customHeight="1" thickBot="1" x14ac:dyDescent="0.3">
      <c r="A57" s="53">
        <v>54</v>
      </c>
      <c r="B57" s="17">
        <v>1</v>
      </c>
      <c r="C57" s="20">
        <v>24</v>
      </c>
      <c r="D57" s="21" t="s">
        <v>4</v>
      </c>
      <c r="E57" s="20">
        <v>50</v>
      </c>
      <c r="G57" s="24">
        <f t="shared" si="1"/>
        <v>1</v>
      </c>
      <c r="H57" s="24">
        <f t="shared" si="2"/>
        <v>1</v>
      </c>
      <c r="I57" s="24">
        <f t="shared" si="3"/>
        <v>0</v>
      </c>
      <c r="J57" s="24">
        <f t="shared" si="4"/>
        <v>3</v>
      </c>
      <c r="K57" s="24">
        <f t="shared" si="5"/>
        <v>-2</v>
      </c>
      <c r="L57" s="24">
        <f t="shared" si="6"/>
        <v>1</v>
      </c>
      <c r="M57" s="24">
        <f>COUNTIF(E57:E68,A57)</f>
        <v>0</v>
      </c>
      <c r="N57" s="13">
        <f t="shared" si="8"/>
        <v>1</v>
      </c>
    </row>
    <row r="58" spans="1:14" ht="15.75" customHeight="1" thickBot="1" x14ac:dyDescent="0.3">
      <c r="A58" s="52">
        <v>55</v>
      </c>
      <c r="B58" s="17">
        <v>2</v>
      </c>
      <c r="C58" s="20">
        <v>51</v>
      </c>
      <c r="D58" s="21" t="s">
        <v>5</v>
      </c>
      <c r="E58" s="20">
        <v>23</v>
      </c>
      <c r="G58" s="24">
        <f t="shared" si="1"/>
        <v>1</v>
      </c>
      <c r="H58" s="24">
        <f t="shared" si="2"/>
        <v>1</v>
      </c>
      <c r="I58" s="24">
        <f t="shared" si="3"/>
        <v>0</v>
      </c>
      <c r="J58" s="24">
        <f t="shared" si="4"/>
        <v>3</v>
      </c>
      <c r="K58" s="24">
        <f t="shared" si="5"/>
        <v>-1</v>
      </c>
      <c r="L58" s="24">
        <f t="shared" si="6"/>
        <v>1</v>
      </c>
      <c r="M58" s="24">
        <f>COUNTIF(E58:E68,A58)</f>
        <v>0</v>
      </c>
      <c r="N58" s="13">
        <f t="shared" si="8"/>
        <v>2</v>
      </c>
    </row>
    <row r="59" spans="1:14" ht="15.75" customHeight="1" thickBot="1" x14ac:dyDescent="0.3">
      <c r="A59" s="51">
        <v>56</v>
      </c>
      <c r="B59" s="17">
        <v>1</v>
      </c>
      <c r="C59" s="20">
        <v>22</v>
      </c>
      <c r="D59" s="21" t="s">
        <v>4</v>
      </c>
      <c r="E59" s="20">
        <v>52</v>
      </c>
      <c r="G59" s="24">
        <f t="shared" si="1"/>
        <v>1</v>
      </c>
      <c r="H59" s="24">
        <f t="shared" si="2"/>
        <v>1</v>
      </c>
      <c r="I59" s="24">
        <f t="shared" si="3"/>
        <v>0</v>
      </c>
      <c r="J59" s="24">
        <f t="shared" si="4"/>
        <v>3</v>
      </c>
      <c r="K59" s="24">
        <f t="shared" si="5"/>
        <v>-2</v>
      </c>
      <c r="L59" s="24">
        <f t="shared" si="6"/>
        <v>1</v>
      </c>
      <c r="M59" s="24">
        <f>COUNTIF(E59:E68,A59)</f>
        <v>0</v>
      </c>
      <c r="N59" s="13">
        <f t="shared" si="8"/>
        <v>1</v>
      </c>
    </row>
    <row r="60" spans="1:14" ht="15.75" customHeight="1" thickBot="1" x14ac:dyDescent="0.3">
      <c r="A60" s="16">
        <v>57</v>
      </c>
      <c r="B60" s="17">
        <v>2</v>
      </c>
      <c r="C60" s="18">
        <v>50</v>
      </c>
      <c r="D60" s="19" t="s">
        <v>4</v>
      </c>
      <c r="E60" s="18">
        <v>48</v>
      </c>
      <c r="G60" s="24">
        <f t="shared" si="1"/>
        <v>1</v>
      </c>
      <c r="H60" s="24">
        <f t="shared" si="2"/>
        <v>1</v>
      </c>
      <c r="I60" s="24">
        <f t="shared" si="3"/>
        <v>0</v>
      </c>
      <c r="J60" s="24">
        <f t="shared" si="4"/>
        <v>3</v>
      </c>
      <c r="K60" s="24">
        <f t="shared" si="5"/>
        <v>-1</v>
      </c>
      <c r="L60" s="24">
        <f t="shared" si="6"/>
        <v>1</v>
      </c>
      <c r="M60" s="24">
        <f>COUNTIF(E60:E68,A60)</f>
        <v>0</v>
      </c>
      <c r="N60" s="13">
        <f t="shared" si="8"/>
        <v>2</v>
      </c>
    </row>
    <row r="61" spans="1:14" ht="15.75" customHeight="1" thickBot="1" x14ac:dyDescent="0.3">
      <c r="A61" s="51">
        <v>58</v>
      </c>
      <c r="B61" s="17">
        <v>2</v>
      </c>
      <c r="C61" s="18">
        <v>47</v>
      </c>
      <c r="D61" s="19" t="s">
        <v>5</v>
      </c>
      <c r="E61" s="18">
        <v>51</v>
      </c>
      <c r="G61" s="24">
        <f t="shared" si="1"/>
        <v>1</v>
      </c>
      <c r="H61" s="24">
        <f t="shared" si="2"/>
        <v>1</v>
      </c>
      <c r="I61" s="24">
        <f t="shared" si="3"/>
        <v>0</v>
      </c>
      <c r="J61" s="24">
        <f t="shared" si="4"/>
        <v>3</v>
      </c>
      <c r="K61" s="24">
        <f t="shared" si="5"/>
        <v>-1</v>
      </c>
      <c r="L61" s="24">
        <f t="shared" si="6"/>
        <v>1</v>
      </c>
      <c r="M61" s="24">
        <f>COUNTIF(E61:E68,A61)</f>
        <v>1</v>
      </c>
      <c r="N61" s="13">
        <f t="shared" si="8"/>
        <v>2</v>
      </c>
    </row>
    <row r="62" spans="1:14" ht="15.75" customHeight="1" thickBot="1" x14ac:dyDescent="0.3">
      <c r="A62" s="52">
        <v>59</v>
      </c>
      <c r="B62" s="17">
        <v>1</v>
      </c>
      <c r="C62" s="18">
        <v>52</v>
      </c>
      <c r="D62" s="19" t="s">
        <v>4</v>
      </c>
      <c r="E62" s="18">
        <v>46</v>
      </c>
      <c r="G62" s="24">
        <f t="shared" si="1"/>
        <v>1</v>
      </c>
      <c r="H62" s="24">
        <f t="shared" si="2"/>
        <v>1</v>
      </c>
      <c r="I62" s="24">
        <f t="shared" si="3"/>
        <v>0</v>
      </c>
      <c r="J62" s="24">
        <f t="shared" si="4"/>
        <v>3</v>
      </c>
      <c r="K62" s="24">
        <f t="shared" si="5"/>
        <v>-2</v>
      </c>
      <c r="L62" s="24">
        <f t="shared" si="6"/>
        <v>1</v>
      </c>
      <c r="M62" s="24">
        <f>COUNTIF(E62:E68,A62)</f>
        <v>0</v>
      </c>
      <c r="N62" s="13">
        <f t="shared" si="8"/>
        <v>1</v>
      </c>
    </row>
    <row r="63" spans="1:14" ht="15.75" customHeight="1" thickBot="1" x14ac:dyDescent="0.3">
      <c r="A63" s="53">
        <v>60</v>
      </c>
      <c r="B63" s="17">
        <v>2</v>
      </c>
      <c r="C63" s="18">
        <v>45</v>
      </c>
      <c r="D63" s="19" t="s">
        <v>5</v>
      </c>
      <c r="E63" s="18">
        <v>53</v>
      </c>
      <c r="G63" s="24">
        <f t="shared" si="1"/>
        <v>1</v>
      </c>
      <c r="H63" s="24">
        <f t="shared" si="2"/>
        <v>1</v>
      </c>
      <c r="I63" s="24">
        <f t="shared" si="3"/>
        <v>0</v>
      </c>
      <c r="J63" s="24">
        <f t="shared" si="4"/>
        <v>3</v>
      </c>
      <c r="K63" s="24">
        <f t="shared" si="5"/>
        <v>-1</v>
      </c>
      <c r="L63" s="24">
        <f t="shared" si="6"/>
        <v>1</v>
      </c>
      <c r="M63" s="24">
        <f>COUNTIF(E63:E68,A63)</f>
        <v>1</v>
      </c>
      <c r="N63" s="13">
        <f t="shared" si="8"/>
        <v>2</v>
      </c>
    </row>
    <row r="64" spans="1:14" ht="15.75" customHeight="1" thickBot="1" x14ac:dyDescent="0.3">
      <c r="A64" s="50">
        <v>61</v>
      </c>
      <c r="B64" s="17">
        <v>1</v>
      </c>
      <c r="C64" s="20">
        <v>57</v>
      </c>
      <c r="D64" s="21" t="s">
        <v>5</v>
      </c>
      <c r="E64" s="20">
        <v>33</v>
      </c>
      <c r="G64" s="24">
        <f t="shared" si="1"/>
        <v>1</v>
      </c>
      <c r="H64" s="24">
        <f t="shared" si="2"/>
        <v>1</v>
      </c>
      <c r="I64" s="24">
        <f t="shared" si="3"/>
        <v>0</v>
      </c>
      <c r="J64" s="24">
        <f t="shared" si="4"/>
        <v>3</v>
      </c>
      <c r="K64" s="24">
        <f t="shared" si="5"/>
        <v>-2</v>
      </c>
      <c r="L64" s="24">
        <f t="shared" si="6"/>
        <v>1</v>
      </c>
      <c r="M64" s="24">
        <f>COUNTIF(E64:E68,A64)</f>
        <v>0</v>
      </c>
      <c r="N64" s="13">
        <f t="shared" si="8"/>
        <v>1</v>
      </c>
    </row>
    <row r="65" spans="1:14" ht="15.75" customHeight="1" thickBot="1" x14ac:dyDescent="0.3">
      <c r="A65" s="53">
        <v>62</v>
      </c>
      <c r="B65" s="17">
        <v>1</v>
      </c>
      <c r="C65" s="20">
        <v>32</v>
      </c>
      <c r="D65" s="21" t="s">
        <v>4</v>
      </c>
      <c r="E65" s="20">
        <v>58</v>
      </c>
      <c r="G65" s="24">
        <f t="shared" si="1"/>
        <v>1</v>
      </c>
      <c r="H65" s="24">
        <f t="shared" si="2"/>
        <v>1</v>
      </c>
      <c r="I65" s="24">
        <f t="shared" si="3"/>
        <v>0</v>
      </c>
      <c r="J65" s="24">
        <f t="shared" si="4"/>
        <v>3</v>
      </c>
      <c r="K65" s="24">
        <f t="shared" si="5"/>
        <v>-2</v>
      </c>
      <c r="L65" s="24">
        <f t="shared" si="6"/>
        <v>1</v>
      </c>
      <c r="M65" s="24">
        <f>COUNTIF(E65:E68,A65)</f>
        <v>0</v>
      </c>
      <c r="N65" s="13">
        <f t="shared" si="8"/>
        <v>1</v>
      </c>
    </row>
    <row r="66" spans="1:14" ht="15.75" customHeight="1" thickBot="1" x14ac:dyDescent="0.3">
      <c r="A66" s="52">
        <v>63</v>
      </c>
      <c r="B66" s="17">
        <v>2</v>
      </c>
      <c r="C66" s="20">
        <v>59</v>
      </c>
      <c r="D66" s="21" t="s">
        <v>5</v>
      </c>
      <c r="E66" s="20">
        <v>31</v>
      </c>
      <c r="G66" s="24">
        <f t="shared" si="1"/>
        <v>1</v>
      </c>
      <c r="H66" s="24">
        <f t="shared" si="2"/>
        <v>1</v>
      </c>
      <c r="I66" s="24">
        <f t="shared" si="3"/>
        <v>0</v>
      </c>
      <c r="J66" s="24">
        <f t="shared" si="4"/>
        <v>3</v>
      </c>
      <c r="K66" s="24">
        <f t="shared" si="5"/>
        <v>-1</v>
      </c>
      <c r="L66" s="24">
        <f t="shared" si="6"/>
        <v>1</v>
      </c>
      <c r="M66" s="24">
        <f>COUNTIF(E66:E68,A66)</f>
        <v>0</v>
      </c>
      <c r="N66" s="13">
        <f t="shared" si="8"/>
        <v>2</v>
      </c>
    </row>
    <row r="67" spans="1:14" ht="15.75" customHeight="1" thickBot="1" x14ac:dyDescent="0.3">
      <c r="A67" s="51">
        <v>64</v>
      </c>
      <c r="B67" s="17">
        <v>1</v>
      </c>
      <c r="C67" s="20">
        <v>30</v>
      </c>
      <c r="D67" s="21" t="s">
        <v>4</v>
      </c>
      <c r="E67" s="20">
        <v>60</v>
      </c>
      <c r="G67" s="24">
        <f t="shared" si="1"/>
        <v>1</v>
      </c>
      <c r="H67" s="24">
        <f t="shared" si="2"/>
        <v>1</v>
      </c>
      <c r="I67" s="24">
        <f t="shared" si="3"/>
        <v>0</v>
      </c>
      <c r="J67" s="24">
        <f t="shared" si="4"/>
        <v>3</v>
      </c>
      <c r="K67" s="24">
        <f t="shared" si="5"/>
        <v>-2</v>
      </c>
      <c r="L67" s="24">
        <f t="shared" si="6"/>
        <v>1</v>
      </c>
      <c r="M67" s="24">
        <f>COUNTIF(E67:E68,A67)</f>
        <v>0</v>
      </c>
      <c r="N67" s="13">
        <f t="shared" si="8"/>
        <v>1</v>
      </c>
    </row>
  </sheetData>
  <mergeCells count="9">
    <mergeCell ref="L2:L3"/>
    <mergeCell ref="M2:M3"/>
    <mergeCell ref="C3:E3"/>
    <mergeCell ref="A1:E2"/>
    <mergeCell ref="G2:G3"/>
    <mergeCell ref="H2:H3"/>
    <mergeCell ref="I2:I3"/>
    <mergeCell ref="J2:J3"/>
    <mergeCell ref="K2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5FE5-7D8E-4DE0-B913-BEDED2C07FA4}">
  <dimension ref="A1:N67"/>
  <sheetViews>
    <sheetView topLeftCell="A42" workbookViewId="0">
      <selection activeCell="A4" sqref="A4:A67"/>
    </sheetView>
  </sheetViews>
  <sheetFormatPr baseColWidth="10" defaultRowHeight="15" x14ac:dyDescent="0.25"/>
  <cols>
    <col min="1" max="2" width="5.42578125" style="26" bestFit="1" customWidth="1"/>
    <col min="3" max="3" width="2.7109375" style="26" bestFit="1" customWidth="1"/>
    <col min="4" max="4" width="2.85546875" style="26" bestFit="1" customWidth="1"/>
    <col min="5" max="5" width="2.7109375" style="26" bestFit="1" customWidth="1"/>
    <col min="6" max="16384" width="11.42578125" style="26"/>
  </cols>
  <sheetData>
    <row r="1" spans="1:14" ht="15" customHeight="1" x14ac:dyDescent="0.25">
      <c r="A1" s="39" t="s">
        <v>12</v>
      </c>
      <c r="B1" s="40"/>
      <c r="C1" s="40"/>
      <c r="D1" s="40"/>
      <c r="E1" s="41"/>
    </row>
    <row r="2" spans="1:14" ht="15.75" customHeight="1" thickBot="1" x14ac:dyDescent="0.3">
      <c r="A2" s="36" t="s">
        <v>13</v>
      </c>
      <c r="B2" s="37"/>
      <c r="C2" s="37"/>
      <c r="D2" s="37"/>
      <c r="E2" s="38"/>
      <c r="G2" s="29" t="s">
        <v>6</v>
      </c>
      <c r="H2" s="29" t="s">
        <v>7</v>
      </c>
      <c r="I2" s="29" t="s">
        <v>8</v>
      </c>
      <c r="J2" s="29" t="s">
        <v>14</v>
      </c>
      <c r="K2" s="29" t="s">
        <v>9</v>
      </c>
      <c r="L2" s="29" t="s">
        <v>10</v>
      </c>
      <c r="M2" s="29" t="s">
        <v>11</v>
      </c>
      <c r="N2" s="27"/>
    </row>
    <row r="3" spans="1:14" ht="64.5" customHeight="1" thickBot="1" x14ac:dyDescent="0.3">
      <c r="A3" s="14" t="s">
        <v>3</v>
      </c>
      <c r="B3" s="15" t="s">
        <v>15</v>
      </c>
      <c r="C3" s="55" t="s">
        <v>2</v>
      </c>
      <c r="D3" s="56"/>
      <c r="E3" s="57"/>
      <c r="G3" s="30"/>
      <c r="H3" s="30"/>
      <c r="I3" s="30"/>
      <c r="J3" s="30"/>
      <c r="K3" s="30"/>
      <c r="L3" s="30"/>
      <c r="M3" s="30"/>
      <c r="N3" s="28" t="s">
        <v>1</v>
      </c>
    </row>
    <row r="4" spans="1:14" ht="15.75" customHeight="1" thickBot="1" x14ac:dyDescent="0.3">
      <c r="A4" s="16">
        <v>1</v>
      </c>
      <c r="B4" s="17">
        <v>3</v>
      </c>
      <c r="C4" s="18">
        <v>50</v>
      </c>
      <c r="D4" s="19" t="s">
        <v>4</v>
      </c>
      <c r="E4" s="18">
        <v>48</v>
      </c>
      <c r="F4" s="49"/>
      <c r="G4" s="24">
        <f>COUNTIF($C$4:$C$67,A4)</f>
        <v>1</v>
      </c>
      <c r="H4" s="24">
        <f>COUNTIF($E$4:$E$67,A4)</f>
        <v>1</v>
      </c>
      <c r="I4" s="24">
        <f t="shared" ref="I4:I67" si="0">H4-G4</f>
        <v>0</v>
      </c>
      <c r="J4" s="24">
        <f>3-I4</f>
        <v>3</v>
      </c>
      <c r="K4" s="24">
        <f>B4-J4</f>
        <v>0</v>
      </c>
      <c r="L4" s="24">
        <f>COUNTIF($C$4:$C$67,A4)</f>
        <v>1</v>
      </c>
      <c r="M4" s="24">
        <f>COUNTIF(E4:E67,A4)</f>
        <v>1</v>
      </c>
      <c r="N4" s="26">
        <f>+J4+K4</f>
        <v>3</v>
      </c>
    </row>
    <row r="5" spans="1:14" ht="15.75" customHeight="1" thickBot="1" x14ac:dyDescent="0.3">
      <c r="A5" s="51">
        <v>2</v>
      </c>
      <c r="B5" s="17">
        <v>1</v>
      </c>
      <c r="C5" s="18">
        <v>47</v>
      </c>
      <c r="D5" s="19" t="s">
        <v>5</v>
      </c>
      <c r="E5" s="18">
        <v>51</v>
      </c>
      <c r="F5" s="49"/>
      <c r="G5" s="24">
        <f>COUNTIF($C$4:$C$67,A5)</f>
        <v>1</v>
      </c>
      <c r="H5" s="24">
        <f>COUNTIF($E$4:$E$67,A5)</f>
        <v>1</v>
      </c>
      <c r="I5" s="24">
        <f t="shared" si="0"/>
        <v>0</v>
      </c>
      <c r="J5" s="24">
        <f t="shared" ref="J5:J67" si="1">3-I5</f>
        <v>3</v>
      </c>
      <c r="K5" s="24">
        <f t="shared" ref="K5:K67" si="2">B5-J5</f>
        <v>-2</v>
      </c>
      <c r="L5" s="24">
        <f>COUNTIF($C$4:$C$67,A5)</f>
        <v>1</v>
      </c>
      <c r="M5" s="24">
        <f>COUNTIF(E12:E68,A5)</f>
        <v>1</v>
      </c>
      <c r="N5" s="26">
        <f t="shared" ref="N5:N67" si="3">+J5+K5</f>
        <v>1</v>
      </c>
    </row>
    <row r="6" spans="1:14" ht="15.75" customHeight="1" thickBot="1" x14ac:dyDescent="0.3">
      <c r="A6" s="52">
        <v>3</v>
      </c>
      <c r="B6" s="17">
        <v>2</v>
      </c>
      <c r="C6" s="18">
        <v>52</v>
      </c>
      <c r="D6" s="19" t="s">
        <v>4</v>
      </c>
      <c r="E6" s="18">
        <v>46</v>
      </c>
      <c r="F6" s="49"/>
      <c r="G6" s="24">
        <f>COUNTIF($C$4:$C$67,A6)</f>
        <v>1</v>
      </c>
      <c r="H6" s="24">
        <f>COUNTIF($E$4:$E$67,A6)</f>
        <v>1</v>
      </c>
      <c r="I6" s="24">
        <f t="shared" si="0"/>
        <v>0</v>
      </c>
      <c r="J6" s="24">
        <f t="shared" si="1"/>
        <v>3</v>
      </c>
      <c r="K6" s="24">
        <f t="shared" si="2"/>
        <v>-1</v>
      </c>
      <c r="L6" s="24">
        <f>COUNTIF($C$4:$C$67,A6)</f>
        <v>1</v>
      </c>
      <c r="M6" s="24">
        <f>COUNTIF(E12:E68,A6)</f>
        <v>1</v>
      </c>
      <c r="N6" s="26">
        <f t="shared" si="3"/>
        <v>2</v>
      </c>
    </row>
    <row r="7" spans="1:14" ht="15.75" customHeight="1" thickBot="1" x14ac:dyDescent="0.3">
      <c r="A7" s="53">
        <v>4</v>
      </c>
      <c r="B7" s="17">
        <v>1</v>
      </c>
      <c r="C7" s="18">
        <v>45</v>
      </c>
      <c r="D7" s="19" t="s">
        <v>5</v>
      </c>
      <c r="E7" s="18">
        <v>53</v>
      </c>
      <c r="F7" s="49"/>
      <c r="G7" s="24">
        <f>COUNTIF($C$4:$C$67,A7)</f>
        <v>1</v>
      </c>
      <c r="H7" s="24">
        <f>COUNTIF($E$4:$E$67,A7)</f>
        <v>1</v>
      </c>
      <c r="I7" s="24">
        <f t="shared" si="0"/>
        <v>0</v>
      </c>
      <c r="J7" s="24">
        <f t="shared" si="1"/>
        <v>3</v>
      </c>
      <c r="K7" s="24">
        <f t="shared" si="2"/>
        <v>-2</v>
      </c>
      <c r="L7" s="24">
        <f>COUNTIF($C$4:$C$67,A7)</f>
        <v>1</v>
      </c>
      <c r="M7" s="24">
        <f>COUNTIF(E12:E68,A7)</f>
        <v>1</v>
      </c>
      <c r="N7" s="26">
        <f t="shared" si="3"/>
        <v>1</v>
      </c>
    </row>
    <row r="8" spans="1:14" ht="15.75" customHeight="1" thickBot="1" x14ac:dyDescent="0.3">
      <c r="A8" s="50">
        <v>5</v>
      </c>
      <c r="B8" s="17">
        <v>1</v>
      </c>
      <c r="C8" s="20">
        <v>57</v>
      </c>
      <c r="D8" s="21" t="s">
        <v>5</v>
      </c>
      <c r="E8" s="20">
        <v>33</v>
      </c>
      <c r="F8" s="49"/>
      <c r="G8" s="24">
        <f>COUNTIF($C$4:$C$67,A8)</f>
        <v>1</v>
      </c>
      <c r="H8" s="24">
        <f>COUNTIF($E$4:$E$67,A8)</f>
        <v>1</v>
      </c>
      <c r="I8" s="24">
        <f t="shared" si="0"/>
        <v>0</v>
      </c>
      <c r="J8" s="24">
        <f t="shared" si="1"/>
        <v>3</v>
      </c>
      <c r="K8" s="24">
        <f t="shared" si="2"/>
        <v>-2</v>
      </c>
      <c r="L8" s="24">
        <f>COUNTIF($C$4:$C$67,A8)</f>
        <v>1</v>
      </c>
      <c r="M8" s="24">
        <f>COUNTIF(E12:E68,A8)</f>
        <v>1</v>
      </c>
      <c r="N8" s="26">
        <f t="shared" si="3"/>
        <v>1</v>
      </c>
    </row>
    <row r="9" spans="1:14" ht="15.75" customHeight="1" thickBot="1" x14ac:dyDescent="0.3">
      <c r="A9" s="53">
        <v>6</v>
      </c>
      <c r="B9" s="17">
        <v>1</v>
      </c>
      <c r="C9" s="20">
        <v>32</v>
      </c>
      <c r="D9" s="21" t="s">
        <v>4</v>
      </c>
      <c r="E9" s="20">
        <v>58</v>
      </c>
      <c r="F9" s="49"/>
      <c r="G9" s="24">
        <f>COUNTIF($C$4:$C$67,A9)</f>
        <v>1</v>
      </c>
      <c r="H9" s="24">
        <f>COUNTIF($E$4:$E$67,A9)</f>
        <v>1</v>
      </c>
      <c r="I9" s="24">
        <f t="shared" si="0"/>
        <v>0</v>
      </c>
      <c r="J9" s="24">
        <f t="shared" si="1"/>
        <v>3</v>
      </c>
      <c r="K9" s="24">
        <f t="shared" si="2"/>
        <v>-2</v>
      </c>
      <c r="L9" s="24">
        <f>COUNTIF($C$4:$C$67,A9)</f>
        <v>1</v>
      </c>
      <c r="M9" s="24">
        <f>COUNTIF(E12:E68,A9)</f>
        <v>1</v>
      </c>
      <c r="N9" s="26">
        <f t="shared" si="3"/>
        <v>1</v>
      </c>
    </row>
    <row r="10" spans="1:14" ht="15.75" customHeight="1" thickBot="1" x14ac:dyDescent="0.3">
      <c r="A10" s="52">
        <v>7</v>
      </c>
      <c r="B10" s="17">
        <v>2</v>
      </c>
      <c r="C10" s="20">
        <v>59</v>
      </c>
      <c r="D10" s="21" t="s">
        <v>5</v>
      </c>
      <c r="E10" s="20">
        <v>31</v>
      </c>
      <c r="F10" s="49"/>
      <c r="G10" s="24">
        <f>COUNTIF($C$4:$C$67,A10)</f>
        <v>1</v>
      </c>
      <c r="H10" s="24">
        <f>COUNTIF($E$4:$E$67,A10)</f>
        <v>1</v>
      </c>
      <c r="I10" s="24">
        <f t="shared" si="0"/>
        <v>0</v>
      </c>
      <c r="J10" s="24">
        <f t="shared" si="1"/>
        <v>3</v>
      </c>
      <c r="K10" s="24">
        <f t="shared" si="2"/>
        <v>-1</v>
      </c>
      <c r="L10" s="24">
        <f>COUNTIF($C$4:$C$67,A10)</f>
        <v>1</v>
      </c>
      <c r="M10" s="24">
        <f>COUNTIF(E12:E68,A10)</f>
        <v>1</v>
      </c>
      <c r="N10" s="26">
        <f t="shared" si="3"/>
        <v>2</v>
      </c>
    </row>
    <row r="11" spans="1:14" ht="15.75" customHeight="1" thickBot="1" x14ac:dyDescent="0.3">
      <c r="A11" s="51">
        <v>8</v>
      </c>
      <c r="B11" s="17">
        <v>1</v>
      </c>
      <c r="C11" s="20">
        <v>30</v>
      </c>
      <c r="D11" s="21" t="s">
        <v>4</v>
      </c>
      <c r="E11" s="20">
        <v>60</v>
      </c>
      <c r="F11" s="49"/>
      <c r="G11" s="24">
        <f>COUNTIF($C$4:$C$67,A11)</f>
        <v>1</v>
      </c>
      <c r="H11" s="24">
        <f>COUNTIF($E$4:$E$67,A11)</f>
        <v>1</v>
      </c>
      <c r="I11" s="24">
        <f t="shared" si="0"/>
        <v>0</v>
      </c>
      <c r="J11" s="24">
        <f t="shared" si="1"/>
        <v>3</v>
      </c>
      <c r="K11" s="24">
        <f t="shared" si="2"/>
        <v>-2</v>
      </c>
      <c r="L11" s="24">
        <f>COUNTIF($C$4:$C$67,A11)</f>
        <v>1</v>
      </c>
      <c r="M11" s="24">
        <f>COUNTIF(E12:E68,A11)</f>
        <v>1</v>
      </c>
      <c r="N11" s="26">
        <f t="shared" si="3"/>
        <v>1</v>
      </c>
    </row>
    <row r="12" spans="1:14" ht="15.75" customHeight="1" thickBot="1" x14ac:dyDescent="0.3">
      <c r="A12" s="16">
        <v>9</v>
      </c>
      <c r="B12" s="17">
        <v>3</v>
      </c>
      <c r="C12" s="18">
        <v>42</v>
      </c>
      <c r="D12" s="19" t="s">
        <v>4</v>
      </c>
      <c r="E12" s="18">
        <v>40</v>
      </c>
      <c r="F12" s="49"/>
      <c r="G12" s="24">
        <f>COUNTIF($C$4:$C$67,A12)</f>
        <v>1</v>
      </c>
      <c r="H12" s="24">
        <f>COUNTIF($E$4:$E$67,A12)</f>
        <v>1</v>
      </c>
      <c r="I12" s="24">
        <f t="shared" si="0"/>
        <v>0</v>
      </c>
      <c r="J12" s="24">
        <f t="shared" si="1"/>
        <v>3</v>
      </c>
      <c r="K12" s="24">
        <f t="shared" si="2"/>
        <v>0</v>
      </c>
      <c r="L12" s="24">
        <f>COUNTIF($C$4:$C$67,A12)</f>
        <v>1</v>
      </c>
      <c r="M12" s="24">
        <f>COUNTIF(E12:E68,A12)</f>
        <v>1</v>
      </c>
      <c r="N12" s="26">
        <f t="shared" si="3"/>
        <v>3</v>
      </c>
    </row>
    <row r="13" spans="1:14" ht="15.75" customHeight="1" thickBot="1" x14ac:dyDescent="0.3">
      <c r="A13" s="51">
        <v>10</v>
      </c>
      <c r="B13" s="17">
        <v>1</v>
      </c>
      <c r="C13" s="18">
        <v>39</v>
      </c>
      <c r="D13" s="19" t="s">
        <v>5</v>
      </c>
      <c r="E13" s="18">
        <v>43</v>
      </c>
      <c r="F13" s="49"/>
      <c r="G13" s="24">
        <f>COUNTIF($C$4:$C$67,A13)</f>
        <v>1</v>
      </c>
      <c r="H13" s="24">
        <f>COUNTIF($E$4:$E$67,A13)</f>
        <v>1</v>
      </c>
      <c r="I13" s="24">
        <f t="shared" si="0"/>
        <v>0</v>
      </c>
      <c r="J13" s="24">
        <f t="shared" si="1"/>
        <v>3</v>
      </c>
      <c r="K13" s="24">
        <f t="shared" si="2"/>
        <v>-2</v>
      </c>
      <c r="L13" s="24">
        <f>COUNTIF($C$4:$C$67,A13)</f>
        <v>1</v>
      </c>
      <c r="M13" s="24">
        <f>COUNTIF(E20:E68,A13)</f>
        <v>1</v>
      </c>
      <c r="N13" s="26">
        <f t="shared" si="3"/>
        <v>1</v>
      </c>
    </row>
    <row r="14" spans="1:14" ht="15.75" customHeight="1" thickBot="1" x14ac:dyDescent="0.3">
      <c r="A14" s="52">
        <v>11</v>
      </c>
      <c r="B14" s="17">
        <v>2</v>
      </c>
      <c r="C14" s="18">
        <v>44</v>
      </c>
      <c r="D14" s="19" t="s">
        <v>4</v>
      </c>
      <c r="E14" s="18">
        <v>38</v>
      </c>
      <c r="F14" s="49"/>
      <c r="G14" s="24">
        <f>COUNTIF($C$4:$C$67,A14)</f>
        <v>1</v>
      </c>
      <c r="H14" s="24">
        <f>COUNTIF($E$4:$E$67,A14)</f>
        <v>1</v>
      </c>
      <c r="I14" s="24">
        <f t="shared" si="0"/>
        <v>0</v>
      </c>
      <c r="J14" s="24">
        <f t="shared" si="1"/>
        <v>3</v>
      </c>
      <c r="K14" s="24">
        <f t="shared" si="2"/>
        <v>-1</v>
      </c>
      <c r="L14" s="24">
        <f>COUNTIF($C$4:$C$67,A14)</f>
        <v>1</v>
      </c>
      <c r="M14" s="24">
        <f>COUNTIF(E20:E68,A14)</f>
        <v>1</v>
      </c>
      <c r="N14" s="26">
        <f t="shared" si="3"/>
        <v>2</v>
      </c>
    </row>
    <row r="15" spans="1:14" ht="15.75" customHeight="1" thickBot="1" x14ac:dyDescent="0.3">
      <c r="A15" s="53">
        <v>12</v>
      </c>
      <c r="B15" s="17">
        <v>1</v>
      </c>
      <c r="C15" s="18">
        <v>37</v>
      </c>
      <c r="D15" s="19" t="s">
        <v>5</v>
      </c>
      <c r="E15" s="18">
        <v>45</v>
      </c>
      <c r="F15" s="49"/>
      <c r="G15" s="24">
        <f>COUNTIF($C$4:$C$67,A15)</f>
        <v>1</v>
      </c>
      <c r="H15" s="24">
        <f>COUNTIF($E$4:$E$67,A15)</f>
        <v>1</v>
      </c>
      <c r="I15" s="24">
        <f t="shared" si="0"/>
        <v>0</v>
      </c>
      <c r="J15" s="24">
        <f t="shared" si="1"/>
        <v>3</v>
      </c>
      <c r="K15" s="24">
        <f t="shared" si="2"/>
        <v>-2</v>
      </c>
      <c r="L15" s="24">
        <f>COUNTIF($C$4:$C$67,A15)</f>
        <v>1</v>
      </c>
      <c r="M15" s="24">
        <f>COUNTIF(E20:E68,A15)</f>
        <v>1</v>
      </c>
      <c r="N15" s="26">
        <f t="shared" si="3"/>
        <v>1</v>
      </c>
    </row>
    <row r="16" spans="1:14" ht="15.75" customHeight="1" thickBot="1" x14ac:dyDescent="0.3">
      <c r="A16" s="50">
        <v>13</v>
      </c>
      <c r="B16" s="17">
        <v>1</v>
      </c>
      <c r="C16" s="20">
        <v>49</v>
      </c>
      <c r="D16" s="21" t="s">
        <v>5</v>
      </c>
      <c r="E16" s="20">
        <v>25</v>
      </c>
      <c r="F16" s="49"/>
      <c r="G16" s="24">
        <f>COUNTIF($C$4:$C$67,A16)</f>
        <v>1</v>
      </c>
      <c r="H16" s="24">
        <f>COUNTIF($E$4:$E$67,A16)</f>
        <v>1</v>
      </c>
      <c r="I16" s="24">
        <f t="shared" si="0"/>
        <v>0</v>
      </c>
      <c r="J16" s="24">
        <f t="shared" si="1"/>
        <v>3</v>
      </c>
      <c r="K16" s="24">
        <f t="shared" si="2"/>
        <v>-2</v>
      </c>
      <c r="L16" s="24">
        <f>COUNTIF($C$4:$C$67,A16)</f>
        <v>1</v>
      </c>
      <c r="M16" s="24">
        <f>COUNTIF(E20:E68,A16)</f>
        <v>1</v>
      </c>
      <c r="N16" s="26">
        <f t="shared" si="3"/>
        <v>1</v>
      </c>
    </row>
    <row r="17" spans="1:14" ht="15.75" customHeight="1" thickBot="1" x14ac:dyDescent="0.3">
      <c r="A17" s="53">
        <v>14</v>
      </c>
      <c r="B17" s="17">
        <v>1</v>
      </c>
      <c r="C17" s="20">
        <v>24</v>
      </c>
      <c r="D17" s="21" t="s">
        <v>4</v>
      </c>
      <c r="E17" s="20">
        <v>50</v>
      </c>
      <c r="F17" s="49"/>
      <c r="G17" s="24">
        <f>COUNTIF($C$4:$C$67,A17)</f>
        <v>1</v>
      </c>
      <c r="H17" s="24">
        <f>COUNTIF($E$4:$E$67,A17)</f>
        <v>1</v>
      </c>
      <c r="I17" s="24">
        <f t="shared" si="0"/>
        <v>0</v>
      </c>
      <c r="J17" s="24">
        <f t="shared" si="1"/>
        <v>3</v>
      </c>
      <c r="K17" s="24">
        <f t="shared" si="2"/>
        <v>-2</v>
      </c>
      <c r="L17" s="24">
        <f>COUNTIF($C$4:$C$67,A17)</f>
        <v>1</v>
      </c>
      <c r="M17" s="24">
        <f>COUNTIF(E20:E68,A17)</f>
        <v>1</v>
      </c>
      <c r="N17" s="26">
        <f t="shared" si="3"/>
        <v>1</v>
      </c>
    </row>
    <row r="18" spans="1:14" ht="15.75" customHeight="1" thickBot="1" x14ac:dyDescent="0.3">
      <c r="A18" s="52">
        <v>15</v>
      </c>
      <c r="B18" s="17">
        <v>2</v>
      </c>
      <c r="C18" s="20">
        <v>51</v>
      </c>
      <c r="D18" s="21" t="s">
        <v>5</v>
      </c>
      <c r="E18" s="20">
        <v>23</v>
      </c>
      <c r="F18" s="49"/>
      <c r="G18" s="24">
        <f>COUNTIF($C$4:$C$67,A18)</f>
        <v>1</v>
      </c>
      <c r="H18" s="24">
        <f>COUNTIF($E$4:$E$67,A18)</f>
        <v>1</v>
      </c>
      <c r="I18" s="24">
        <f t="shared" si="0"/>
        <v>0</v>
      </c>
      <c r="J18" s="24">
        <f t="shared" si="1"/>
        <v>3</v>
      </c>
      <c r="K18" s="24">
        <f t="shared" si="2"/>
        <v>-1</v>
      </c>
      <c r="L18" s="24">
        <f>COUNTIF($C$4:$C$67,A18)</f>
        <v>1</v>
      </c>
      <c r="M18" s="24">
        <f>COUNTIF(E20:E68,A18)</f>
        <v>1</v>
      </c>
      <c r="N18" s="26">
        <f t="shared" si="3"/>
        <v>2</v>
      </c>
    </row>
    <row r="19" spans="1:14" ht="15.75" customHeight="1" thickBot="1" x14ac:dyDescent="0.3">
      <c r="A19" s="51">
        <v>16</v>
      </c>
      <c r="B19" s="17">
        <v>1</v>
      </c>
      <c r="C19" s="20">
        <v>22</v>
      </c>
      <c r="D19" s="21" t="s">
        <v>4</v>
      </c>
      <c r="E19" s="20">
        <v>52</v>
      </c>
      <c r="F19" s="49"/>
      <c r="G19" s="24">
        <f>COUNTIF($C$4:$C$67,A19)</f>
        <v>1</v>
      </c>
      <c r="H19" s="24">
        <f>COUNTIF($E$4:$E$67,A19)</f>
        <v>1</v>
      </c>
      <c r="I19" s="24">
        <f t="shared" si="0"/>
        <v>0</v>
      </c>
      <c r="J19" s="24">
        <f t="shared" si="1"/>
        <v>3</v>
      </c>
      <c r="K19" s="24">
        <f t="shared" si="2"/>
        <v>-2</v>
      </c>
      <c r="L19" s="24">
        <f>COUNTIF($C$4:$C$67,A19)</f>
        <v>1</v>
      </c>
      <c r="M19" s="24">
        <f>COUNTIF(E20:E68,A19)</f>
        <v>1</v>
      </c>
      <c r="N19" s="26">
        <f t="shared" si="3"/>
        <v>1</v>
      </c>
    </row>
    <row r="20" spans="1:14" ht="15.75" customHeight="1" thickBot="1" x14ac:dyDescent="0.3">
      <c r="A20" s="16">
        <v>17</v>
      </c>
      <c r="B20" s="17">
        <v>3</v>
      </c>
      <c r="C20" s="18">
        <v>34</v>
      </c>
      <c r="D20" s="19" t="s">
        <v>4</v>
      </c>
      <c r="E20" s="18">
        <v>32</v>
      </c>
      <c r="F20" s="49"/>
      <c r="G20" s="24">
        <f>COUNTIF($C$4:$C$67,A20)</f>
        <v>1</v>
      </c>
      <c r="H20" s="24">
        <f>COUNTIF($E$4:$E$67,A20)</f>
        <v>1</v>
      </c>
      <c r="I20" s="24">
        <f t="shared" si="0"/>
        <v>0</v>
      </c>
      <c r="J20" s="24">
        <f t="shared" si="1"/>
        <v>3</v>
      </c>
      <c r="K20" s="24">
        <f t="shared" si="2"/>
        <v>0</v>
      </c>
      <c r="L20" s="24">
        <f>COUNTIF($C$4:$C$67,A20)</f>
        <v>1</v>
      </c>
      <c r="M20" s="24">
        <f>COUNTIF(E20:E68,A20)</f>
        <v>1</v>
      </c>
      <c r="N20" s="26">
        <f t="shared" si="3"/>
        <v>3</v>
      </c>
    </row>
    <row r="21" spans="1:14" ht="15.75" customHeight="1" thickBot="1" x14ac:dyDescent="0.3">
      <c r="A21" s="51">
        <v>18</v>
      </c>
      <c r="B21" s="17">
        <v>1</v>
      </c>
      <c r="C21" s="18">
        <v>31</v>
      </c>
      <c r="D21" s="19" t="s">
        <v>5</v>
      </c>
      <c r="E21" s="18">
        <v>35</v>
      </c>
      <c r="F21" s="49"/>
      <c r="G21" s="24">
        <f>COUNTIF($C$4:$C$67,A21)</f>
        <v>1</v>
      </c>
      <c r="H21" s="24">
        <f>COUNTIF($E$4:$E$67,A21)</f>
        <v>1</v>
      </c>
      <c r="I21" s="24">
        <f t="shared" si="0"/>
        <v>0</v>
      </c>
      <c r="J21" s="24">
        <f t="shared" si="1"/>
        <v>3</v>
      </c>
      <c r="K21" s="24">
        <f t="shared" si="2"/>
        <v>-2</v>
      </c>
      <c r="L21" s="24">
        <f>COUNTIF($C$4:$C$67,A21)</f>
        <v>1</v>
      </c>
      <c r="M21" s="24">
        <f>COUNTIF(E28:E68,A21)</f>
        <v>1</v>
      </c>
      <c r="N21" s="26">
        <f t="shared" si="3"/>
        <v>1</v>
      </c>
    </row>
    <row r="22" spans="1:14" ht="15.75" customHeight="1" thickBot="1" x14ac:dyDescent="0.3">
      <c r="A22" s="52">
        <v>19</v>
      </c>
      <c r="B22" s="17">
        <v>2</v>
      </c>
      <c r="C22" s="18">
        <v>36</v>
      </c>
      <c r="D22" s="19" t="s">
        <v>4</v>
      </c>
      <c r="E22" s="18">
        <v>30</v>
      </c>
      <c r="F22" s="49"/>
      <c r="G22" s="24">
        <f>COUNTIF($C$4:$C$67,A22)</f>
        <v>1</v>
      </c>
      <c r="H22" s="24">
        <f>COUNTIF($E$4:$E$67,A22)</f>
        <v>1</v>
      </c>
      <c r="I22" s="24">
        <f t="shared" si="0"/>
        <v>0</v>
      </c>
      <c r="J22" s="24">
        <f t="shared" si="1"/>
        <v>3</v>
      </c>
      <c r="K22" s="24">
        <f t="shared" si="2"/>
        <v>-1</v>
      </c>
      <c r="L22" s="24">
        <f>COUNTIF($C$4:$C$67,A22)</f>
        <v>1</v>
      </c>
      <c r="M22" s="24">
        <f>COUNTIF(E28:E68,A22)</f>
        <v>1</v>
      </c>
      <c r="N22" s="26">
        <f t="shared" si="3"/>
        <v>2</v>
      </c>
    </row>
    <row r="23" spans="1:14" ht="15.75" customHeight="1" thickBot="1" x14ac:dyDescent="0.3">
      <c r="A23" s="53">
        <v>20</v>
      </c>
      <c r="B23" s="17">
        <v>1</v>
      </c>
      <c r="C23" s="18">
        <v>29</v>
      </c>
      <c r="D23" s="19" t="s">
        <v>5</v>
      </c>
      <c r="E23" s="18">
        <v>37</v>
      </c>
      <c r="F23" s="49"/>
      <c r="G23" s="24">
        <f>COUNTIF($C$4:$C$67,A23)</f>
        <v>1</v>
      </c>
      <c r="H23" s="24">
        <f>COUNTIF($E$4:$E$67,A23)</f>
        <v>1</v>
      </c>
      <c r="I23" s="24">
        <f t="shared" si="0"/>
        <v>0</v>
      </c>
      <c r="J23" s="24">
        <f t="shared" si="1"/>
        <v>3</v>
      </c>
      <c r="K23" s="24">
        <f t="shared" si="2"/>
        <v>-2</v>
      </c>
      <c r="L23" s="24">
        <f>COUNTIF($C$4:$C$67,A23)</f>
        <v>1</v>
      </c>
      <c r="M23" s="24">
        <f>COUNTIF(E28:E68,A23)</f>
        <v>1</v>
      </c>
      <c r="N23" s="26">
        <f t="shared" si="3"/>
        <v>1</v>
      </c>
    </row>
    <row r="24" spans="1:14" ht="15.75" customHeight="1" thickBot="1" x14ac:dyDescent="0.3">
      <c r="A24" s="50">
        <v>21</v>
      </c>
      <c r="B24" s="17">
        <v>1</v>
      </c>
      <c r="C24" s="20">
        <v>41</v>
      </c>
      <c r="D24" s="21" t="s">
        <v>5</v>
      </c>
      <c r="E24" s="20">
        <v>17</v>
      </c>
      <c r="F24" s="49"/>
      <c r="G24" s="24">
        <f>COUNTIF($C$4:$C$67,A24)</f>
        <v>1</v>
      </c>
      <c r="H24" s="24">
        <f>COUNTIF($E$4:$E$67,A24)</f>
        <v>1</v>
      </c>
      <c r="I24" s="24">
        <f t="shared" si="0"/>
        <v>0</v>
      </c>
      <c r="J24" s="24">
        <f t="shared" si="1"/>
        <v>3</v>
      </c>
      <c r="K24" s="24">
        <f t="shared" si="2"/>
        <v>-2</v>
      </c>
      <c r="L24" s="24">
        <f>COUNTIF($C$4:$C$67,A24)</f>
        <v>1</v>
      </c>
      <c r="M24" s="24">
        <f>COUNTIF(E28:E68,A24)</f>
        <v>1</v>
      </c>
      <c r="N24" s="26">
        <f t="shared" si="3"/>
        <v>1</v>
      </c>
    </row>
    <row r="25" spans="1:14" ht="15.75" customHeight="1" thickBot="1" x14ac:dyDescent="0.3">
      <c r="A25" s="53">
        <v>22</v>
      </c>
      <c r="B25" s="17">
        <v>1</v>
      </c>
      <c r="C25" s="20">
        <v>16</v>
      </c>
      <c r="D25" s="21" t="s">
        <v>4</v>
      </c>
      <c r="E25" s="20">
        <v>42</v>
      </c>
      <c r="F25" s="49"/>
      <c r="G25" s="24">
        <f>COUNTIF($C$4:$C$67,A25)</f>
        <v>1</v>
      </c>
      <c r="H25" s="24">
        <f>COUNTIF($E$4:$E$67,A25)</f>
        <v>1</v>
      </c>
      <c r="I25" s="24">
        <f t="shared" si="0"/>
        <v>0</v>
      </c>
      <c r="J25" s="24">
        <f t="shared" si="1"/>
        <v>3</v>
      </c>
      <c r="K25" s="24">
        <f t="shared" si="2"/>
        <v>-2</v>
      </c>
      <c r="L25" s="24">
        <f>COUNTIF($C$4:$C$67,A25)</f>
        <v>1</v>
      </c>
      <c r="M25" s="24">
        <f>COUNTIF(E28:E68,A25)</f>
        <v>1</v>
      </c>
      <c r="N25" s="26">
        <f t="shared" si="3"/>
        <v>1</v>
      </c>
    </row>
    <row r="26" spans="1:14" ht="15.75" customHeight="1" thickBot="1" x14ac:dyDescent="0.3">
      <c r="A26" s="52">
        <v>23</v>
      </c>
      <c r="B26" s="17">
        <v>2</v>
      </c>
      <c r="C26" s="20">
        <v>43</v>
      </c>
      <c r="D26" s="21" t="s">
        <v>5</v>
      </c>
      <c r="E26" s="20">
        <v>15</v>
      </c>
      <c r="F26" s="49"/>
      <c r="G26" s="24">
        <f>COUNTIF($C$4:$C$67,A26)</f>
        <v>1</v>
      </c>
      <c r="H26" s="24">
        <f>COUNTIF($E$4:$E$67,A26)</f>
        <v>1</v>
      </c>
      <c r="I26" s="24">
        <f t="shared" si="0"/>
        <v>0</v>
      </c>
      <c r="J26" s="24">
        <f t="shared" si="1"/>
        <v>3</v>
      </c>
      <c r="K26" s="24">
        <f t="shared" si="2"/>
        <v>-1</v>
      </c>
      <c r="L26" s="24">
        <f>COUNTIF($C$4:$C$67,A26)</f>
        <v>1</v>
      </c>
      <c r="M26" s="24">
        <f>COUNTIF(E28:E68,A26)</f>
        <v>0</v>
      </c>
      <c r="N26" s="26">
        <f t="shared" si="3"/>
        <v>2</v>
      </c>
    </row>
    <row r="27" spans="1:14" ht="15.75" customHeight="1" thickBot="1" x14ac:dyDescent="0.3">
      <c r="A27" s="51">
        <v>24</v>
      </c>
      <c r="B27" s="17">
        <v>1</v>
      </c>
      <c r="C27" s="20">
        <v>14</v>
      </c>
      <c r="D27" s="21" t="s">
        <v>4</v>
      </c>
      <c r="E27" s="20">
        <v>44</v>
      </c>
      <c r="F27" s="49"/>
      <c r="G27" s="24">
        <f>COUNTIF($C$4:$C$67,A27)</f>
        <v>1</v>
      </c>
      <c r="H27" s="24">
        <f>COUNTIF($E$4:$E$67,A27)</f>
        <v>1</v>
      </c>
      <c r="I27" s="24">
        <f t="shared" si="0"/>
        <v>0</v>
      </c>
      <c r="J27" s="24">
        <f t="shared" si="1"/>
        <v>3</v>
      </c>
      <c r="K27" s="24">
        <f t="shared" si="2"/>
        <v>-2</v>
      </c>
      <c r="L27" s="24">
        <f>COUNTIF($C$4:$C$67,A27)</f>
        <v>1</v>
      </c>
      <c r="M27" s="24">
        <f>COUNTIF(E28:E68,A27)</f>
        <v>1</v>
      </c>
      <c r="N27" s="26">
        <f t="shared" si="3"/>
        <v>1</v>
      </c>
    </row>
    <row r="28" spans="1:14" ht="15.75" customHeight="1" thickBot="1" x14ac:dyDescent="0.3">
      <c r="A28" s="16">
        <v>25</v>
      </c>
      <c r="B28" s="17">
        <v>3</v>
      </c>
      <c r="C28" s="18">
        <v>26</v>
      </c>
      <c r="D28" s="19" t="s">
        <v>4</v>
      </c>
      <c r="E28" s="18">
        <v>24</v>
      </c>
      <c r="F28" s="49"/>
      <c r="G28" s="24">
        <f>COUNTIF($C$4:$C$67,A28)</f>
        <v>1</v>
      </c>
      <c r="H28" s="24">
        <f>COUNTIF($E$4:$E$67,A28)</f>
        <v>1</v>
      </c>
      <c r="I28" s="24">
        <f t="shared" si="0"/>
        <v>0</v>
      </c>
      <c r="J28" s="24">
        <f t="shared" si="1"/>
        <v>3</v>
      </c>
      <c r="K28" s="24">
        <f t="shared" si="2"/>
        <v>0</v>
      </c>
      <c r="L28" s="24">
        <f>COUNTIF($C$4:$C$67,A28)</f>
        <v>1</v>
      </c>
      <c r="M28" s="24">
        <f>COUNTIF(E28:E68,A28)</f>
        <v>0</v>
      </c>
      <c r="N28" s="26">
        <f t="shared" si="3"/>
        <v>3</v>
      </c>
    </row>
    <row r="29" spans="1:14" ht="15.75" customHeight="1" thickBot="1" x14ac:dyDescent="0.3">
      <c r="A29" s="51">
        <v>26</v>
      </c>
      <c r="B29" s="17">
        <v>1</v>
      </c>
      <c r="C29" s="18">
        <v>23</v>
      </c>
      <c r="D29" s="19" t="s">
        <v>5</v>
      </c>
      <c r="E29" s="18">
        <v>27</v>
      </c>
      <c r="F29" s="49"/>
      <c r="G29" s="24">
        <f>COUNTIF($C$4:$C$67,A29)</f>
        <v>1</v>
      </c>
      <c r="H29" s="24">
        <f>COUNTIF($E$4:$E$67,A29)</f>
        <v>1</v>
      </c>
      <c r="I29" s="24">
        <f t="shared" si="0"/>
        <v>0</v>
      </c>
      <c r="J29" s="24">
        <f t="shared" si="1"/>
        <v>3</v>
      </c>
      <c r="K29" s="24">
        <f t="shared" si="2"/>
        <v>-2</v>
      </c>
      <c r="L29" s="24">
        <f>COUNTIF($C$4:$C$67,A29)</f>
        <v>1</v>
      </c>
      <c r="M29" s="24">
        <f>COUNTIF(E37:E68,A29)</f>
        <v>1</v>
      </c>
      <c r="N29" s="26">
        <f t="shared" si="3"/>
        <v>1</v>
      </c>
    </row>
    <row r="30" spans="1:14" ht="15.75" customHeight="1" thickBot="1" x14ac:dyDescent="0.3">
      <c r="A30" s="52">
        <v>27</v>
      </c>
      <c r="B30" s="17">
        <v>2</v>
      </c>
      <c r="C30" s="18">
        <v>28</v>
      </c>
      <c r="D30" s="19" t="s">
        <v>4</v>
      </c>
      <c r="E30" s="18">
        <v>22</v>
      </c>
      <c r="F30" s="49"/>
      <c r="G30" s="24">
        <f>COUNTIF($C$4:$C$67,A30)</f>
        <v>1</v>
      </c>
      <c r="H30" s="24">
        <f>COUNTIF($E$4:$E$67,A30)</f>
        <v>1</v>
      </c>
      <c r="I30" s="24">
        <f t="shared" si="0"/>
        <v>0</v>
      </c>
      <c r="J30" s="24">
        <f t="shared" si="1"/>
        <v>3</v>
      </c>
      <c r="K30" s="24">
        <f t="shared" si="2"/>
        <v>-1</v>
      </c>
      <c r="L30" s="24">
        <f>COUNTIF($C$4:$C$67,A30)</f>
        <v>1</v>
      </c>
      <c r="M30" s="24">
        <f>COUNTIF(E38:E68,A30)</f>
        <v>0</v>
      </c>
      <c r="N30" s="26">
        <f t="shared" si="3"/>
        <v>2</v>
      </c>
    </row>
    <row r="31" spans="1:14" ht="15.75" customHeight="1" thickBot="1" x14ac:dyDescent="0.3">
      <c r="A31" s="53">
        <v>28</v>
      </c>
      <c r="B31" s="17">
        <v>1</v>
      </c>
      <c r="C31" s="18">
        <v>21</v>
      </c>
      <c r="D31" s="19" t="s">
        <v>5</v>
      </c>
      <c r="E31" s="18">
        <v>29</v>
      </c>
      <c r="F31" s="49"/>
      <c r="G31" s="24">
        <f>COUNTIF($C$4:$C$67,A31)</f>
        <v>1</v>
      </c>
      <c r="H31" s="24">
        <f>COUNTIF($E$4:$E$67,A31)</f>
        <v>1</v>
      </c>
      <c r="I31" s="24">
        <f t="shared" si="0"/>
        <v>0</v>
      </c>
      <c r="J31" s="24">
        <f t="shared" si="1"/>
        <v>3</v>
      </c>
      <c r="K31" s="24">
        <f t="shared" si="2"/>
        <v>-2</v>
      </c>
      <c r="L31" s="24">
        <f>COUNTIF($C$4:$C$67,A31)</f>
        <v>1</v>
      </c>
      <c r="M31" s="24">
        <f>COUNTIF(E39:E68,A31)</f>
        <v>1</v>
      </c>
      <c r="N31" s="26">
        <f t="shared" si="3"/>
        <v>1</v>
      </c>
    </row>
    <row r="32" spans="1:14" ht="15.75" customHeight="1" thickBot="1" x14ac:dyDescent="0.3">
      <c r="A32" s="50">
        <v>29</v>
      </c>
      <c r="B32" s="17">
        <v>1</v>
      </c>
      <c r="C32" s="20">
        <v>33</v>
      </c>
      <c r="D32" s="21" t="s">
        <v>5</v>
      </c>
      <c r="E32" s="20">
        <v>9</v>
      </c>
      <c r="F32" s="49"/>
      <c r="G32" s="24">
        <f>COUNTIF($C$4:$C$67,A32)</f>
        <v>1</v>
      </c>
      <c r="H32" s="24">
        <f>COUNTIF($E$4:$E$67,A32)</f>
        <v>1</v>
      </c>
      <c r="I32" s="24">
        <f t="shared" si="0"/>
        <v>0</v>
      </c>
      <c r="J32" s="24">
        <f t="shared" si="1"/>
        <v>3</v>
      </c>
      <c r="K32" s="24">
        <f t="shared" si="2"/>
        <v>-2</v>
      </c>
      <c r="L32" s="24">
        <f>COUNTIF($C$4:$C$67,A32)</f>
        <v>1</v>
      </c>
      <c r="M32" s="24">
        <f>COUNTIF(E40:E68,A32)</f>
        <v>0</v>
      </c>
      <c r="N32" s="26">
        <f t="shared" si="3"/>
        <v>1</v>
      </c>
    </row>
    <row r="33" spans="1:14" ht="15.75" customHeight="1" thickBot="1" x14ac:dyDescent="0.3">
      <c r="A33" s="53">
        <v>30</v>
      </c>
      <c r="B33" s="17">
        <v>1</v>
      </c>
      <c r="C33" s="20">
        <v>8</v>
      </c>
      <c r="D33" s="21" t="s">
        <v>4</v>
      </c>
      <c r="E33" s="20">
        <v>34</v>
      </c>
      <c r="F33" s="49"/>
      <c r="G33" s="24">
        <f>COUNTIF($C$4:$C$67,A33)</f>
        <v>1</v>
      </c>
      <c r="H33" s="24">
        <f>COUNTIF($E$4:$E$67,A33)</f>
        <v>1</v>
      </c>
      <c r="I33" s="24">
        <f t="shared" si="0"/>
        <v>0</v>
      </c>
      <c r="J33" s="24">
        <f t="shared" si="1"/>
        <v>3</v>
      </c>
      <c r="K33" s="24">
        <f t="shared" si="2"/>
        <v>-2</v>
      </c>
      <c r="L33" s="24">
        <f>COUNTIF($C$4:$C$67,A33)</f>
        <v>1</v>
      </c>
      <c r="M33" s="24">
        <f>COUNTIF(E41:E68,A33)</f>
        <v>0</v>
      </c>
      <c r="N33" s="26">
        <f t="shared" si="3"/>
        <v>1</v>
      </c>
    </row>
    <row r="34" spans="1:14" ht="15.75" customHeight="1" thickBot="1" x14ac:dyDescent="0.3">
      <c r="A34" s="52">
        <v>31</v>
      </c>
      <c r="B34" s="17">
        <v>2</v>
      </c>
      <c r="C34" s="20">
        <v>35</v>
      </c>
      <c r="D34" s="21" t="s">
        <v>5</v>
      </c>
      <c r="E34" s="20">
        <v>7</v>
      </c>
      <c r="F34" s="49"/>
      <c r="G34" s="24">
        <f>COUNTIF($C$4:$C$67,A34)</f>
        <v>1</v>
      </c>
      <c r="H34" s="24">
        <f>COUNTIF($E$4:$E$67,A34)</f>
        <v>1</v>
      </c>
      <c r="I34" s="24">
        <f t="shared" si="0"/>
        <v>0</v>
      </c>
      <c r="J34" s="24">
        <f t="shared" si="1"/>
        <v>3</v>
      </c>
      <c r="K34" s="24">
        <f t="shared" si="2"/>
        <v>-1</v>
      </c>
      <c r="L34" s="24">
        <f>COUNTIF($C$4:$C$67,A34)</f>
        <v>1</v>
      </c>
      <c r="M34" s="24">
        <f>COUNTIF(E42:E68,A34)</f>
        <v>0</v>
      </c>
      <c r="N34" s="26">
        <f t="shared" si="3"/>
        <v>2</v>
      </c>
    </row>
    <row r="35" spans="1:14" ht="15.75" customHeight="1" thickBot="1" x14ac:dyDescent="0.3">
      <c r="A35" s="51">
        <v>32</v>
      </c>
      <c r="B35" s="17">
        <v>1</v>
      </c>
      <c r="C35" s="20">
        <v>6</v>
      </c>
      <c r="D35" s="21" t="s">
        <v>4</v>
      </c>
      <c r="E35" s="20">
        <v>36</v>
      </c>
      <c r="F35" s="49"/>
      <c r="G35" s="24">
        <f>COUNTIF($C$4:$C$67,A35)</f>
        <v>1</v>
      </c>
      <c r="H35" s="24">
        <f>COUNTIF($E$4:$E$67,A35)</f>
        <v>1</v>
      </c>
      <c r="I35" s="24">
        <f t="shared" si="0"/>
        <v>0</v>
      </c>
      <c r="J35" s="24">
        <f t="shared" si="1"/>
        <v>3</v>
      </c>
      <c r="K35" s="24">
        <f t="shared" si="2"/>
        <v>-2</v>
      </c>
      <c r="L35" s="24">
        <f>COUNTIF($C$4:$C$67,A35)</f>
        <v>1</v>
      </c>
      <c r="M35" s="24">
        <f>COUNTIF(E43:E68,A35)</f>
        <v>0</v>
      </c>
      <c r="N35" s="26">
        <f t="shared" si="3"/>
        <v>1</v>
      </c>
    </row>
    <row r="36" spans="1:14" ht="15.75" customHeight="1" thickBot="1" x14ac:dyDescent="0.3">
      <c r="A36" s="16">
        <v>33</v>
      </c>
      <c r="B36" s="17">
        <v>3</v>
      </c>
      <c r="C36" s="18">
        <v>18</v>
      </c>
      <c r="D36" s="19" t="s">
        <v>4</v>
      </c>
      <c r="E36" s="18">
        <v>16</v>
      </c>
      <c r="F36" s="49"/>
      <c r="G36" s="24">
        <f>COUNTIF($C$4:$C$67,A36)</f>
        <v>1</v>
      </c>
      <c r="H36" s="24">
        <f>COUNTIF($E$4:$E$67,A36)</f>
        <v>1</v>
      </c>
      <c r="I36" s="24">
        <f t="shared" si="0"/>
        <v>0</v>
      </c>
      <c r="J36" s="24">
        <f t="shared" si="1"/>
        <v>3</v>
      </c>
      <c r="K36" s="24">
        <f t="shared" si="2"/>
        <v>0</v>
      </c>
      <c r="L36" s="24">
        <f>COUNTIF($C$4:$C$67,A36)</f>
        <v>1</v>
      </c>
      <c r="M36" s="24">
        <f>COUNTIF(E28:E68,A36)</f>
        <v>0</v>
      </c>
      <c r="N36" s="26">
        <f t="shared" si="3"/>
        <v>3</v>
      </c>
    </row>
    <row r="37" spans="1:14" ht="15.75" customHeight="1" thickBot="1" x14ac:dyDescent="0.3">
      <c r="A37" s="51">
        <v>34</v>
      </c>
      <c r="B37" s="17">
        <v>1</v>
      </c>
      <c r="C37" s="18">
        <v>15</v>
      </c>
      <c r="D37" s="19" t="s">
        <v>5</v>
      </c>
      <c r="E37" s="18">
        <v>19</v>
      </c>
      <c r="F37" s="49"/>
      <c r="G37" s="24">
        <f>COUNTIF($C$4:$C$67,A37)</f>
        <v>1</v>
      </c>
      <c r="H37" s="24">
        <f>COUNTIF($E$4:$E$67,A37)</f>
        <v>1</v>
      </c>
      <c r="I37" s="24">
        <f t="shared" si="0"/>
        <v>0</v>
      </c>
      <c r="J37" s="24">
        <f t="shared" si="1"/>
        <v>3</v>
      </c>
      <c r="K37" s="24">
        <f t="shared" si="2"/>
        <v>-2</v>
      </c>
      <c r="L37" s="24">
        <f>COUNTIF($C$4:$C$67,A37)</f>
        <v>1</v>
      </c>
      <c r="M37" s="24">
        <f>COUNTIF(E29:E68,A37)</f>
        <v>1</v>
      </c>
      <c r="N37" s="26">
        <f t="shared" si="3"/>
        <v>1</v>
      </c>
    </row>
    <row r="38" spans="1:14" ht="15.75" customHeight="1" thickBot="1" x14ac:dyDescent="0.3">
      <c r="A38" s="52">
        <v>35</v>
      </c>
      <c r="B38" s="17">
        <v>2</v>
      </c>
      <c r="C38" s="18">
        <v>20</v>
      </c>
      <c r="D38" s="19" t="s">
        <v>4</v>
      </c>
      <c r="E38" s="18">
        <v>14</v>
      </c>
      <c r="F38" s="49"/>
      <c r="G38" s="24">
        <f>COUNTIF($C$4:$C$67,A38)</f>
        <v>1</v>
      </c>
      <c r="H38" s="24">
        <f>COUNTIF($E$4:$E$67,A38)</f>
        <v>1</v>
      </c>
      <c r="I38" s="24">
        <f t="shared" si="0"/>
        <v>0</v>
      </c>
      <c r="J38" s="24">
        <f t="shared" si="1"/>
        <v>3</v>
      </c>
      <c r="K38" s="24">
        <f t="shared" si="2"/>
        <v>-1</v>
      </c>
      <c r="L38" s="24">
        <f>COUNTIF($C$4:$C$67,A38)</f>
        <v>1</v>
      </c>
      <c r="M38" s="24">
        <f>COUNTIF(E30:E68,A38)</f>
        <v>0</v>
      </c>
      <c r="N38" s="26">
        <f t="shared" si="3"/>
        <v>2</v>
      </c>
    </row>
    <row r="39" spans="1:14" ht="15.75" customHeight="1" thickBot="1" x14ac:dyDescent="0.3">
      <c r="A39" s="53">
        <v>36</v>
      </c>
      <c r="B39" s="17">
        <v>1</v>
      </c>
      <c r="C39" s="18">
        <v>13</v>
      </c>
      <c r="D39" s="19" t="s">
        <v>5</v>
      </c>
      <c r="E39" s="18">
        <v>21</v>
      </c>
      <c r="F39" s="49"/>
      <c r="G39" s="24">
        <f>COUNTIF($C$4:$C$67,A39)</f>
        <v>1</v>
      </c>
      <c r="H39" s="24">
        <f>COUNTIF($E$4:$E$67,A39)</f>
        <v>1</v>
      </c>
      <c r="I39" s="24">
        <f t="shared" si="0"/>
        <v>0</v>
      </c>
      <c r="J39" s="24">
        <f t="shared" si="1"/>
        <v>3</v>
      </c>
      <c r="K39" s="24">
        <f t="shared" si="2"/>
        <v>-2</v>
      </c>
      <c r="L39" s="24">
        <f>COUNTIF($C$4:$C$67,A39)</f>
        <v>1</v>
      </c>
      <c r="M39" s="24">
        <f>COUNTIF(E31:E68,A39)</f>
        <v>1</v>
      </c>
      <c r="N39" s="26">
        <f t="shared" si="3"/>
        <v>1</v>
      </c>
    </row>
    <row r="40" spans="1:14" ht="15.75" customHeight="1" thickBot="1" x14ac:dyDescent="0.3">
      <c r="A40" s="50">
        <v>37</v>
      </c>
      <c r="B40" s="17">
        <v>1</v>
      </c>
      <c r="C40" s="20">
        <v>25</v>
      </c>
      <c r="D40" s="21" t="s">
        <v>5</v>
      </c>
      <c r="E40" s="20">
        <v>1</v>
      </c>
      <c r="F40" s="49"/>
      <c r="G40" s="24">
        <f>COUNTIF($C$4:$C$67,A40)</f>
        <v>1</v>
      </c>
      <c r="H40" s="24">
        <f>COUNTIF($E$4:$E$67,A40)</f>
        <v>1</v>
      </c>
      <c r="I40" s="24">
        <f t="shared" si="0"/>
        <v>0</v>
      </c>
      <c r="J40" s="24">
        <f t="shared" si="1"/>
        <v>3</v>
      </c>
      <c r="K40" s="24">
        <f t="shared" si="2"/>
        <v>-2</v>
      </c>
      <c r="L40" s="24">
        <f>COUNTIF($C$4:$C$67,A40)</f>
        <v>1</v>
      </c>
      <c r="M40" s="24">
        <f>COUNTIF(E32:E68,A40)</f>
        <v>0</v>
      </c>
      <c r="N40" s="26">
        <f t="shared" si="3"/>
        <v>1</v>
      </c>
    </row>
    <row r="41" spans="1:14" ht="15.75" customHeight="1" thickBot="1" x14ac:dyDescent="0.3">
      <c r="A41" s="53">
        <v>38</v>
      </c>
      <c r="B41" s="17">
        <v>2</v>
      </c>
      <c r="C41" s="20">
        <v>64</v>
      </c>
      <c r="D41" s="21" t="s">
        <v>4</v>
      </c>
      <c r="E41" s="20">
        <v>26</v>
      </c>
      <c r="F41" s="49"/>
      <c r="G41" s="24">
        <f>COUNTIF($C$4:$C$67,A41)</f>
        <v>1</v>
      </c>
      <c r="H41" s="24">
        <f>COUNTIF($E$4:$E$67,A41)</f>
        <v>1</v>
      </c>
      <c r="I41" s="24">
        <f t="shared" si="0"/>
        <v>0</v>
      </c>
      <c r="J41" s="24">
        <f t="shared" si="1"/>
        <v>3</v>
      </c>
      <c r="K41" s="24">
        <f t="shared" si="2"/>
        <v>-1</v>
      </c>
      <c r="L41" s="24">
        <f>COUNTIF($C$4:$C$67,A41)</f>
        <v>1</v>
      </c>
      <c r="M41" s="24">
        <f>COUNTIF(E33:E68,A41)</f>
        <v>0</v>
      </c>
      <c r="N41" s="26">
        <f t="shared" si="3"/>
        <v>2</v>
      </c>
    </row>
    <row r="42" spans="1:14" ht="15.75" customHeight="1" thickBot="1" x14ac:dyDescent="0.3">
      <c r="A42" s="52">
        <v>39</v>
      </c>
      <c r="B42" s="17">
        <v>1</v>
      </c>
      <c r="C42" s="20">
        <v>27</v>
      </c>
      <c r="D42" s="21" t="s">
        <v>5</v>
      </c>
      <c r="E42" s="20">
        <v>63</v>
      </c>
      <c r="F42" s="49"/>
      <c r="G42" s="24">
        <f>COUNTIF($C$4:$C$67,A42)</f>
        <v>1</v>
      </c>
      <c r="H42" s="24">
        <f>COUNTIF($E$4:$E$67,A42)</f>
        <v>1</v>
      </c>
      <c r="I42" s="24">
        <f t="shared" si="0"/>
        <v>0</v>
      </c>
      <c r="J42" s="24">
        <f t="shared" si="1"/>
        <v>3</v>
      </c>
      <c r="K42" s="24">
        <f t="shared" si="2"/>
        <v>-2</v>
      </c>
      <c r="L42" s="24">
        <f>COUNTIF($C$4:$C$67,A42)</f>
        <v>1</v>
      </c>
      <c r="M42" s="24">
        <f>COUNTIF(E34:E68,A42)</f>
        <v>1</v>
      </c>
      <c r="N42" s="26">
        <f t="shared" si="3"/>
        <v>1</v>
      </c>
    </row>
    <row r="43" spans="1:14" ht="15.75" customHeight="1" thickBot="1" x14ac:dyDescent="0.3">
      <c r="A43" s="51">
        <v>40</v>
      </c>
      <c r="B43" s="17">
        <v>2</v>
      </c>
      <c r="C43" s="20">
        <v>62</v>
      </c>
      <c r="D43" s="21" t="s">
        <v>4</v>
      </c>
      <c r="E43" s="20">
        <v>28</v>
      </c>
      <c r="F43" s="49"/>
      <c r="G43" s="24">
        <f>COUNTIF($C$4:$C$67,A43)</f>
        <v>1</v>
      </c>
      <c r="H43" s="24">
        <f>COUNTIF($E$4:$E$67,A43)</f>
        <v>1</v>
      </c>
      <c r="I43" s="24">
        <f t="shared" si="0"/>
        <v>0</v>
      </c>
      <c r="J43" s="24">
        <f t="shared" si="1"/>
        <v>3</v>
      </c>
      <c r="K43" s="24">
        <f t="shared" si="2"/>
        <v>-1</v>
      </c>
      <c r="L43" s="24">
        <f>COUNTIF($C$4:$C$67,A43)</f>
        <v>1</v>
      </c>
      <c r="M43" s="24">
        <f>COUNTIF(E35:E68,A43)</f>
        <v>0</v>
      </c>
      <c r="N43" s="26">
        <f t="shared" si="3"/>
        <v>2</v>
      </c>
    </row>
    <row r="44" spans="1:14" ht="15.75" customHeight="1" thickBot="1" x14ac:dyDescent="0.3">
      <c r="A44" s="16">
        <v>41</v>
      </c>
      <c r="B44" s="17">
        <v>2</v>
      </c>
      <c r="C44" s="18">
        <v>10</v>
      </c>
      <c r="D44" s="19" t="s">
        <v>4</v>
      </c>
      <c r="E44" s="18">
        <v>8</v>
      </c>
      <c r="F44" s="49"/>
      <c r="G44" s="24">
        <f>COUNTIF($C$4:$C$67,A44)</f>
        <v>1</v>
      </c>
      <c r="H44" s="24">
        <f>COUNTIF($E$4:$E$67,A44)</f>
        <v>1</v>
      </c>
      <c r="I44" s="24">
        <f t="shared" si="0"/>
        <v>0</v>
      </c>
      <c r="J44" s="24">
        <f t="shared" si="1"/>
        <v>3</v>
      </c>
      <c r="K44" s="24">
        <f t="shared" si="2"/>
        <v>-1</v>
      </c>
      <c r="L44" s="24">
        <f>COUNTIF($C$4:$C$67,A44)</f>
        <v>1</v>
      </c>
      <c r="M44" s="24">
        <f>COUNTIF(E36:E68,A44)</f>
        <v>1</v>
      </c>
      <c r="N44" s="26">
        <f t="shared" si="3"/>
        <v>2</v>
      </c>
    </row>
    <row r="45" spans="1:14" ht="15.75" customHeight="1" thickBot="1" x14ac:dyDescent="0.3">
      <c r="A45" s="51">
        <v>42</v>
      </c>
      <c r="B45" s="17">
        <v>1</v>
      </c>
      <c r="C45" s="18">
        <v>7</v>
      </c>
      <c r="D45" s="19" t="s">
        <v>5</v>
      </c>
      <c r="E45" s="18">
        <v>11</v>
      </c>
      <c r="F45" s="49"/>
      <c r="G45" s="24">
        <f>COUNTIF($C$4:$C$67,A45)</f>
        <v>1</v>
      </c>
      <c r="H45" s="24">
        <f>COUNTIF($E$4:$E$67,A45)</f>
        <v>1</v>
      </c>
      <c r="I45" s="24">
        <f t="shared" si="0"/>
        <v>0</v>
      </c>
      <c r="J45" s="24">
        <f t="shared" si="1"/>
        <v>3</v>
      </c>
      <c r="K45" s="24">
        <f t="shared" si="2"/>
        <v>-2</v>
      </c>
      <c r="L45" s="24">
        <f>COUNTIF($C$4:$C$67,A45)</f>
        <v>1</v>
      </c>
      <c r="M45" s="24">
        <f>COUNTIF(E52:E68,A45)</f>
        <v>0</v>
      </c>
      <c r="N45" s="26">
        <f t="shared" si="3"/>
        <v>1</v>
      </c>
    </row>
    <row r="46" spans="1:14" ht="15.75" customHeight="1" thickBot="1" x14ac:dyDescent="0.3">
      <c r="A46" s="52">
        <v>43</v>
      </c>
      <c r="B46" s="17">
        <v>2</v>
      </c>
      <c r="C46" s="18">
        <v>12</v>
      </c>
      <c r="D46" s="19" t="s">
        <v>4</v>
      </c>
      <c r="E46" s="18">
        <v>6</v>
      </c>
      <c r="F46" s="49"/>
      <c r="G46" s="24">
        <f>COUNTIF($C$4:$C$67,A46)</f>
        <v>1</v>
      </c>
      <c r="H46" s="24">
        <f>COUNTIF($E$4:$E$67,A46)</f>
        <v>1</v>
      </c>
      <c r="I46" s="24">
        <f t="shared" si="0"/>
        <v>0</v>
      </c>
      <c r="J46" s="24">
        <f t="shared" si="1"/>
        <v>3</v>
      </c>
      <c r="K46" s="24">
        <f t="shared" si="2"/>
        <v>-1</v>
      </c>
      <c r="L46" s="24">
        <f>COUNTIF($C$4:$C$67,A46)</f>
        <v>1</v>
      </c>
      <c r="M46" s="24">
        <f>COUNTIF(E52:E68,A46)</f>
        <v>0</v>
      </c>
      <c r="N46" s="26">
        <f t="shared" si="3"/>
        <v>2</v>
      </c>
    </row>
    <row r="47" spans="1:14" ht="15.75" customHeight="1" thickBot="1" x14ac:dyDescent="0.3">
      <c r="A47" s="53">
        <v>44</v>
      </c>
      <c r="B47" s="17">
        <v>1</v>
      </c>
      <c r="C47" s="18">
        <v>5</v>
      </c>
      <c r="D47" s="19" t="s">
        <v>5</v>
      </c>
      <c r="E47" s="18">
        <v>13</v>
      </c>
      <c r="F47" s="49"/>
      <c r="G47" s="24">
        <f>COUNTIF($C$4:$C$67,A47)</f>
        <v>1</v>
      </c>
      <c r="H47" s="24">
        <f>COUNTIF($E$4:$E$67,A47)</f>
        <v>1</v>
      </c>
      <c r="I47" s="24">
        <f t="shared" si="0"/>
        <v>0</v>
      </c>
      <c r="J47" s="24">
        <f t="shared" si="1"/>
        <v>3</v>
      </c>
      <c r="K47" s="24">
        <f t="shared" si="2"/>
        <v>-2</v>
      </c>
      <c r="L47" s="24">
        <f>COUNTIF($C$4:$C$67,A47)</f>
        <v>1</v>
      </c>
      <c r="M47" s="24">
        <f>COUNTIF(E52:E68,A47)</f>
        <v>0</v>
      </c>
      <c r="N47" s="26">
        <f t="shared" si="3"/>
        <v>1</v>
      </c>
    </row>
    <row r="48" spans="1:14" ht="15.75" customHeight="1" thickBot="1" x14ac:dyDescent="0.3">
      <c r="A48" s="50">
        <v>45</v>
      </c>
      <c r="B48" s="17">
        <v>1</v>
      </c>
      <c r="C48" s="20">
        <v>17</v>
      </c>
      <c r="D48" s="21" t="s">
        <v>5</v>
      </c>
      <c r="E48" s="20">
        <v>57</v>
      </c>
      <c r="F48" s="49"/>
      <c r="G48" s="24">
        <f>COUNTIF($C$4:$C$67,A48)</f>
        <v>1</v>
      </c>
      <c r="H48" s="24">
        <f>COUNTIF($E$4:$E$67,A48)</f>
        <v>1</v>
      </c>
      <c r="I48" s="24">
        <f t="shared" si="0"/>
        <v>0</v>
      </c>
      <c r="J48" s="24">
        <f t="shared" si="1"/>
        <v>3</v>
      </c>
      <c r="K48" s="24">
        <f t="shared" si="2"/>
        <v>-2</v>
      </c>
      <c r="L48" s="24">
        <f>COUNTIF($C$4:$C$67,A48)</f>
        <v>1</v>
      </c>
      <c r="M48" s="24">
        <f>COUNTIF(E52:E68,A48)</f>
        <v>0</v>
      </c>
      <c r="N48" s="26">
        <f t="shared" si="3"/>
        <v>1</v>
      </c>
    </row>
    <row r="49" spans="1:14" ht="15.75" customHeight="1" thickBot="1" x14ac:dyDescent="0.3">
      <c r="A49" s="53">
        <v>46</v>
      </c>
      <c r="B49" s="17">
        <v>2</v>
      </c>
      <c r="C49" s="20">
        <v>56</v>
      </c>
      <c r="D49" s="21" t="s">
        <v>4</v>
      </c>
      <c r="E49" s="20">
        <v>18</v>
      </c>
      <c r="F49" s="49"/>
      <c r="G49" s="24">
        <f>COUNTIF($C$4:$C$67,A49)</f>
        <v>1</v>
      </c>
      <c r="H49" s="24">
        <f>COUNTIF($E$4:$E$67,A49)</f>
        <v>1</v>
      </c>
      <c r="I49" s="24">
        <f t="shared" si="0"/>
        <v>0</v>
      </c>
      <c r="J49" s="24">
        <f t="shared" si="1"/>
        <v>3</v>
      </c>
      <c r="K49" s="24">
        <f t="shared" si="2"/>
        <v>-1</v>
      </c>
      <c r="L49" s="24">
        <f>COUNTIF($C$4:$C$67,A49)</f>
        <v>1</v>
      </c>
      <c r="M49" s="24">
        <f>COUNTIF(E52:E68,A49)</f>
        <v>0</v>
      </c>
      <c r="N49" s="26">
        <f t="shared" si="3"/>
        <v>2</v>
      </c>
    </row>
    <row r="50" spans="1:14" ht="15.75" customHeight="1" thickBot="1" x14ac:dyDescent="0.3">
      <c r="A50" s="52">
        <v>47</v>
      </c>
      <c r="B50" s="17">
        <v>1</v>
      </c>
      <c r="C50" s="20">
        <v>19</v>
      </c>
      <c r="D50" s="21" t="s">
        <v>5</v>
      </c>
      <c r="E50" s="20">
        <v>55</v>
      </c>
      <c r="F50" s="49"/>
      <c r="G50" s="24">
        <f>COUNTIF($C$4:$C$67,A50)</f>
        <v>1</v>
      </c>
      <c r="H50" s="24">
        <f>COUNTIF($E$4:$E$67,A50)</f>
        <v>1</v>
      </c>
      <c r="I50" s="24">
        <f t="shared" si="0"/>
        <v>0</v>
      </c>
      <c r="J50" s="24">
        <f t="shared" si="1"/>
        <v>3</v>
      </c>
      <c r="K50" s="24">
        <f t="shared" si="2"/>
        <v>-2</v>
      </c>
      <c r="L50" s="24">
        <f>COUNTIF($C$4:$C$67,A50)</f>
        <v>1</v>
      </c>
      <c r="M50" s="24">
        <f>COUNTIF(E52:E68,A50)</f>
        <v>1</v>
      </c>
      <c r="N50" s="26">
        <f t="shared" si="3"/>
        <v>1</v>
      </c>
    </row>
    <row r="51" spans="1:14" ht="15.75" customHeight="1" thickBot="1" x14ac:dyDescent="0.3">
      <c r="A51" s="51">
        <v>48</v>
      </c>
      <c r="B51" s="17">
        <v>2</v>
      </c>
      <c r="C51" s="20">
        <v>54</v>
      </c>
      <c r="D51" s="21" t="s">
        <v>4</v>
      </c>
      <c r="E51" s="20">
        <v>20</v>
      </c>
      <c r="F51" s="49"/>
      <c r="G51" s="24">
        <f>COUNTIF($C$4:$C$67,A51)</f>
        <v>1</v>
      </c>
      <c r="H51" s="24">
        <f>COUNTIF($E$4:$E$67,A51)</f>
        <v>1</v>
      </c>
      <c r="I51" s="24">
        <f t="shared" si="0"/>
        <v>0</v>
      </c>
      <c r="J51" s="24">
        <f t="shared" si="1"/>
        <v>3</v>
      </c>
      <c r="K51" s="24">
        <f t="shared" si="2"/>
        <v>-1</v>
      </c>
      <c r="L51" s="24">
        <f>COUNTIF($C$4:$C$67,A51)</f>
        <v>1</v>
      </c>
      <c r="M51" s="24">
        <f>COUNTIF(E52:E68,A51)</f>
        <v>0</v>
      </c>
      <c r="N51" s="26">
        <f t="shared" si="3"/>
        <v>2</v>
      </c>
    </row>
    <row r="52" spans="1:14" ht="15.75" customHeight="1" thickBot="1" x14ac:dyDescent="0.3">
      <c r="A52" s="16">
        <v>49</v>
      </c>
      <c r="B52" s="17">
        <v>2</v>
      </c>
      <c r="C52" s="18">
        <v>2</v>
      </c>
      <c r="D52" s="19" t="s">
        <v>4</v>
      </c>
      <c r="E52" s="18">
        <v>64</v>
      </c>
      <c r="F52" s="49"/>
      <c r="G52" s="24">
        <f>COUNTIF($C$4:$C$67,A52)</f>
        <v>1</v>
      </c>
      <c r="H52" s="24">
        <f>COUNTIF($E$4:$E$67,A52)</f>
        <v>1</v>
      </c>
      <c r="I52" s="24">
        <f t="shared" si="0"/>
        <v>0</v>
      </c>
      <c r="J52" s="24">
        <f t="shared" si="1"/>
        <v>3</v>
      </c>
      <c r="K52" s="24">
        <f t="shared" si="2"/>
        <v>-1</v>
      </c>
      <c r="L52" s="24">
        <f>COUNTIF($C$4:$C$67,A52)</f>
        <v>1</v>
      </c>
      <c r="M52" s="24">
        <f>COUNTIF(E52:E68,A52)</f>
        <v>1</v>
      </c>
      <c r="N52" s="26">
        <f t="shared" si="3"/>
        <v>2</v>
      </c>
    </row>
    <row r="53" spans="1:14" ht="15.75" customHeight="1" thickBot="1" x14ac:dyDescent="0.3">
      <c r="A53" s="51">
        <v>50</v>
      </c>
      <c r="B53" s="17">
        <v>1</v>
      </c>
      <c r="C53" s="18">
        <v>63</v>
      </c>
      <c r="D53" s="19" t="s">
        <v>5</v>
      </c>
      <c r="E53" s="18">
        <v>3</v>
      </c>
      <c r="F53" s="49"/>
      <c r="G53" s="24">
        <f>COUNTIF($C$4:$C$67,A53)</f>
        <v>1</v>
      </c>
      <c r="H53" s="24">
        <f>COUNTIF($E$4:$E$67,A53)</f>
        <v>1</v>
      </c>
      <c r="I53" s="24">
        <f t="shared" si="0"/>
        <v>0</v>
      </c>
      <c r="J53" s="24">
        <f t="shared" si="1"/>
        <v>3</v>
      </c>
      <c r="K53" s="24">
        <f t="shared" si="2"/>
        <v>-2</v>
      </c>
      <c r="L53" s="24">
        <f>COUNTIF($C$4:$C$67,A53)</f>
        <v>1</v>
      </c>
      <c r="M53" s="24">
        <f>COUNTIF(E60:E68,A53)</f>
        <v>0</v>
      </c>
      <c r="N53" s="26">
        <f t="shared" si="3"/>
        <v>1</v>
      </c>
    </row>
    <row r="54" spans="1:14" ht="15.75" customHeight="1" thickBot="1" x14ac:dyDescent="0.3">
      <c r="A54" s="52">
        <v>51</v>
      </c>
      <c r="B54" s="17">
        <v>2</v>
      </c>
      <c r="C54" s="18">
        <v>4</v>
      </c>
      <c r="D54" s="19" t="s">
        <v>4</v>
      </c>
      <c r="E54" s="18">
        <v>62</v>
      </c>
      <c r="F54" s="49"/>
      <c r="G54" s="24">
        <f>COUNTIF($C$4:$C$67,A54)</f>
        <v>1</v>
      </c>
      <c r="H54" s="24">
        <f>COUNTIF($E$4:$E$67,A54)</f>
        <v>1</v>
      </c>
      <c r="I54" s="24">
        <f t="shared" si="0"/>
        <v>0</v>
      </c>
      <c r="J54" s="24">
        <f t="shared" si="1"/>
        <v>3</v>
      </c>
      <c r="K54" s="24">
        <f t="shared" si="2"/>
        <v>-1</v>
      </c>
      <c r="L54" s="24">
        <f>COUNTIF($C$4:$C$67,A54)</f>
        <v>1</v>
      </c>
      <c r="M54" s="24">
        <f>COUNTIF(E60:E68,A54)</f>
        <v>0</v>
      </c>
      <c r="N54" s="26">
        <f t="shared" si="3"/>
        <v>2</v>
      </c>
    </row>
    <row r="55" spans="1:14" ht="15.75" customHeight="1" thickBot="1" x14ac:dyDescent="0.3">
      <c r="A55" s="53">
        <v>52</v>
      </c>
      <c r="B55" s="17">
        <v>1</v>
      </c>
      <c r="C55" s="18">
        <v>61</v>
      </c>
      <c r="D55" s="19" t="s">
        <v>5</v>
      </c>
      <c r="E55" s="18">
        <v>5</v>
      </c>
      <c r="F55" s="49"/>
      <c r="G55" s="24">
        <f>COUNTIF($C$4:$C$67,A55)</f>
        <v>1</v>
      </c>
      <c r="H55" s="24">
        <f>COUNTIF($E$4:$E$67,A55)</f>
        <v>1</v>
      </c>
      <c r="I55" s="24">
        <f t="shared" si="0"/>
        <v>0</v>
      </c>
      <c r="J55" s="24">
        <f t="shared" si="1"/>
        <v>3</v>
      </c>
      <c r="K55" s="24">
        <f t="shared" si="2"/>
        <v>-2</v>
      </c>
      <c r="L55" s="24">
        <f>COUNTIF($C$4:$C$67,A55)</f>
        <v>1</v>
      </c>
      <c r="M55" s="24">
        <f>COUNTIF(E60:E68,A55)</f>
        <v>0</v>
      </c>
      <c r="N55" s="26">
        <f t="shared" si="3"/>
        <v>1</v>
      </c>
    </row>
    <row r="56" spans="1:14" ht="15.75" customHeight="1" thickBot="1" x14ac:dyDescent="0.3">
      <c r="A56" s="50">
        <v>53</v>
      </c>
      <c r="B56" s="17">
        <v>2</v>
      </c>
      <c r="C56" s="20">
        <v>9</v>
      </c>
      <c r="D56" s="21" t="s">
        <v>5</v>
      </c>
      <c r="E56" s="20">
        <v>49</v>
      </c>
      <c r="F56" s="49"/>
      <c r="G56" s="24">
        <f>COUNTIF($C$4:$C$67,A56)</f>
        <v>1</v>
      </c>
      <c r="H56" s="24">
        <f>COUNTIF($E$4:$E$67,A56)</f>
        <v>1</v>
      </c>
      <c r="I56" s="24">
        <f t="shared" si="0"/>
        <v>0</v>
      </c>
      <c r="J56" s="24">
        <f t="shared" si="1"/>
        <v>3</v>
      </c>
      <c r="K56" s="24">
        <f t="shared" si="2"/>
        <v>-1</v>
      </c>
      <c r="L56" s="24">
        <f>COUNTIF($C$4:$C$67,A56)</f>
        <v>1</v>
      </c>
      <c r="M56" s="24">
        <f>COUNTIF(E60:E68,A56)</f>
        <v>0</v>
      </c>
      <c r="N56" s="26">
        <f t="shared" si="3"/>
        <v>2</v>
      </c>
    </row>
    <row r="57" spans="1:14" ht="15.75" customHeight="1" thickBot="1" x14ac:dyDescent="0.3">
      <c r="A57" s="53">
        <v>54</v>
      </c>
      <c r="B57" s="17">
        <v>1</v>
      </c>
      <c r="C57" s="20">
        <v>48</v>
      </c>
      <c r="D57" s="21" t="s">
        <v>4</v>
      </c>
      <c r="E57" s="20">
        <v>10</v>
      </c>
      <c r="F57" s="49"/>
      <c r="G57" s="24">
        <f>COUNTIF($C$4:$C$67,A57)</f>
        <v>1</v>
      </c>
      <c r="H57" s="24">
        <f>COUNTIF($E$4:$E$67,A57)</f>
        <v>1</v>
      </c>
      <c r="I57" s="24">
        <f t="shared" si="0"/>
        <v>0</v>
      </c>
      <c r="J57" s="24">
        <f t="shared" si="1"/>
        <v>3</v>
      </c>
      <c r="K57" s="24">
        <f t="shared" si="2"/>
        <v>-2</v>
      </c>
      <c r="L57" s="24">
        <f>COUNTIF($C$4:$C$67,A57)</f>
        <v>1</v>
      </c>
      <c r="M57" s="24">
        <f>COUNTIF(E60:E68,A57)</f>
        <v>1</v>
      </c>
      <c r="N57" s="26">
        <f t="shared" si="3"/>
        <v>1</v>
      </c>
    </row>
    <row r="58" spans="1:14" ht="15.75" customHeight="1" thickBot="1" x14ac:dyDescent="0.3">
      <c r="A58" s="52">
        <v>55</v>
      </c>
      <c r="B58" s="17">
        <v>2</v>
      </c>
      <c r="C58" s="20">
        <v>11</v>
      </c>
      <c r="D58" s="21" t="s">
        <v>5</v>
      </c>
      <c r="E58" s="20">
        <v>47</v>
      </c>
      <c r="F58" s="49"/>
      <c r="G58" s="24">
        <f>COUNTIF($C$4:$C$67,A58)</f>
        <v>1</v>
      </c>
      <c r="H58" s="24">
        <f>COUNTIF($E$4:$E$67,A58)</f>
        <v>1</v>
      </c>
      <c r="I58" s="24">
        <f t="shared" si="0"/>
        <v>0</v>
      </c>
      <c r="J58" s="24">
        <f t="shared" si="1"/>
        <v>3</v>
      </c>
      <c r="K58" s="24">
        <f t="shared" si="2"/>
        <v>-1</v>
      </c>
      <c r="L58" s="24">
        <f>COUNTIF($C$4:$C$67,A58)</f>
        <v>1</v>
      </c>
      <c r="M58" s="24">
        <f>COUNTIF(E60:E68,A58)</f>
        <v>0</v>
      </c>
      <c r="N58" s="26">
        <f t="shared" si="3"/>
        <v>2</v>
      </c>
    </row>
    <row r="59" spans="1:14" ht="15.75" customHeight="1" thickBot="1" x14ac:dyDescent="0.3">
      <c r="A59" s="51">
        <v>56</v>
      </c>
      <c r="B59" s="17">
        <v>1</v>
      </c>
      <c r="C59" s="20">
        <v>46</v>
      </c>
      <c r="D59" s="21" t="s">
        <v>4</v>
      </c>
      <c r="E59" s="20">
        <v>12</v>
      </c>
      <c r="F59" s="49"/>
      <c r="G59" s="24">
        <f>COUNTIF($C$4:$C$67,A59)</f>
        <v>1</v>
      </c>
      <c r="H59" s="24">
        <f>COUNTIF($E$4:$E$67,A59)</f>
        <v>1</v>
      </c>
      <c r="I59" s="24">
        <f t="shared" si="0"/>
        <v>0</v>
      </c>
      <c r="J59" s="24">
        <f t="shared" si="1"/>
        <v>3</v>
      </c>
      <c r="K59" s="24">
        <f t="shared" si="2"/>
        <v>-2</v>
      </c>
      <c r="L59" s="24">
        <f>COUNTIF($C$4:$C$67,A59)</f>
        <v>1</v>
      </c>
      <c r="M59" s="24">
        <f>COUNTIF(E60:E68,A59)</f>
        <v>1</v>
      </c>
      <c r="N59" s="26">
        <f t="shared" si="3"/>
        <v>1</v>
      </c>
    </row>
    <row r="60" spans="1:14" ht="15.75" customHeight="1" thickBot="1" x14ac:dyDescent="0.3">
      <c r="A60" s="16">
        <v>57</v>
      </c>
      <c r="B60" s="17">
        <v>2</v>
      </c>
      <c r="C60" s="18">
        <v>58</v>
      </c>
      <c r="D60" s="19" t="s">
        <v>4</v>
      </c>
      <c r="E60" s="18">
        <v>56</v>
      </c>
      <c r="F60" s="49"/>
      <c r="G60" s="24">
        <f>COUNTIF($C$4:$C$67,A60)</f>
        <v>1</v>
      </c>
      <c r="H60" s="24">
        <f>COUNTIF($E$4:$E$67,A60)</f>
        <v>1</v>
      </c>
      <c r="I60" s="24">
        <f t="shared" si="0"/>
        <v>0</v>
      </c>
      <c r="J60" s="24">
        <f t="shared" si="1"/>
        <v>3</v>
      </c>
      <c r="K60" s="24">
        <f t="shared" si="2"/>
        <v>-1</v>
      </c>
      <c r="L60" s="24">
        <f>COUNTIF($C$4:$C$67,A60)</f>
        <v>1</v>
      </c>
      <c r="M60" s="24">
        <f>COUNTIF(E60:E68,A60)</f>
        <v>0</v>
      </c>
      <c r="N60" s="26">
        <f t="shared" si="3"/>
        <v>2</v>
      </c>
    </row>
    <row r="61" spans="1:14" ht="15.75" customHeight="1" thickBot="1" x14ac:dyDescent="0.3">
      <c r="A61" s="51">
        <v>58</v>
      </c>
      <c r="B61" s="17">
        <v>2</v>
      </c>
      <c r="C61" s="18">
        <v>55</v>
      </c>
      <c r="D61" s="19" t="s">
        <v>5</v>
      </c>
      <c r="E61" s="18">
        <v>59</v>
      </c>
      <c r="F61" s="49"/>
      <c r="G61" s="24">
        <f>COUNTIF($C$4:$C$67,A61)</f>
        <v>1</v>
      </c>
      <c r="H61" s="24">
        <f>COUNTIF($E$4:$E$67,A61)</f>
        <v>1</v>
      </c>
      <c r="I61" s="24">
        <f t="shared" si="0"/>
        <v>0</v>
      </c>
      <c r="J61" s="24">
        <f t="shared" si="1"/>
        <v>3</v>
      </c>
      <c r="K61" s="24">
        <f t="shared" si="2"/>
        <v>-1</v>
      </c>
      <c r="L61" s="24">
        <f>COUNTIF($C$4:$C$67,A61)</f>
        <v>1</v>
      </c>
      <c r="M61" s="24">
        <f>COUNTIF(E68:E68,A61)</f>
        <v>0</v>
      </c>
      <c r="N61" s="26">
        <f t="shared" si="3"/>
        <v>2</v>
      </c>
    </row>
    <row r="62" spans="1:14" ht="15.75" customHeight="1" thickBot="1" x14ac:dyDescent="0.3">
      <c r="A62" s="52">
        <v>59</v>
      </c>
      <c r="B62" s="17">
        <v>1</v>
      </c>
      <c r="C62" s="18">
        <v>60</v>
      </c>
      <c r="D62" s="19" t="s">
        <v>4</v>
      </c>
      <c r="E62" s="18">
        <v>54</v>
      </c>
      <c r="F62" s="49"/>
      <c r="G62" s="24">
        <f>COUNTIF($C$4:$C$67,A62)</f>
        <v>1</v>
      </c>
      <c r="H62" s="24">
        <f>COUNTIF($E$4:$E$67,A62)</f>
        <v>1</v>
      </c>
      <c r="I62" s="24">
        <f t="shared" si="0"/>
        <v>0</v>
      </c>
      <c r="J62" s="24">
        <f t="shared" si="1"/>
        <v>3</v>
      </c>
      <c r="K62" s="24">
        <f t="shared" si="2"/>
        <v>-2</v>
      </c>
      <c r="L62" s="24">
        <f>COUNTIF($C$4:$C$67,A62)</f>
        <v>1</v>
      </c>
      <c r="M62" s="24">
        <f>COUNTIF(E68:E68,A62)</f>
        <v>0</v>
      </c>
      <c r="N62" s="26">
        <f t="shared" si="3"/>
        <v>1</v>
      </c>
    </row>
    <row r="63" spans="1:14" ht="15.75" customHeight="1" thickBot="1" x14ac:dyDescent="0.3">
      <c r="A63" s="53">
        <v>60</v>
      </c>
      <c r="B63" s="17">
        <v>2</v>
      </c>
      <c r="C63" s="18">
        <v>53</v>
      </c>
      <c r="D63" s="19" t="s">
        <v>5</v>
      </c>
      <c r="E63" s="18">
        <v>61</v>
      </c>
      <c r="F63" s="49"/>
      <c r="G63" s="24">
        <f>COUNTIF($C$4:$C$67,A63)</f>
        <v>1</v>
      </c>
      <c r="H63" s="24">
        <f>COUNTIF($E$4:$E$67,A63)</f>
        <v>1</v>
      </c>
      <c r="I63" s="24">
        <f t="shared" si="0"/>
        <v>0</v>
      </c>
      <c r="J63" s="24">
        <f t="shared" si="1"/>
        <v>3</v>
      </c>
      <c r="K63" s="24">
        <f t="shared" si="2"/>
        <v>-1</v>
      </c>
      <c r="L63" s="24">
        <f>COUNTIF($C$4:$C$67,A63)</f>
        <v>1</v>
      </c>
      <c r="M63" s="24">
        <f>COUNTIF(E68:E68,A63)</f>
        <v>0</v>
      </c>
      <c r="N63" s="26">
        <f t="shared" si="3"/>
        <v>2</v>
      </c>
    </row>
    <row r="64" spans="1:14" ht="15.75" customHeight="1" thickBot="1" x14ac:dyDescent="0.3">
      <c r="A64" s="50">
        <v>61</v>
      </c>
      <c r="B64" s="17">
        <v>1</v>
      </c>
      <c r="C64" s="20">
        <v>1</v>
      </c>
      <c r="D64" s="21" t="s">
        <v>5</v>
      </c>
      <c r="E64" s="20">
        <v>41</v>
      </c>
      <c r="F64" s="49"/>
      <c r="G64" s="24">
        <f>COUNTIF($C$4:$C$67,A64)</f>
        <v>1</v>
      </c>
      <c r="H64" s="24">
        <f>COUNTIF($E$4:$E$67,A64)</f>
        <v>1</v>
      </c>
      <c r="I64" s="24">
        <f t="shared" si="0"/>
        <v>0</v>
      </c>
      <c r="J64" s="24">
        <f t="shared" si="1"/>
        <v>3</v>
      </c>
      <c r="K64" s="24">
        <f t="shared" si="2"/>
        <v>-2</v>
      </c>
      <c r="L64" s="24">
        <f>COUNTIF($C$4:$C$67,A64)</f>
        <v>1</v>
      </c>
      <c r="M64" s="24">
        <f>COUNTIF(E68:E68,A64)</f>
        <v>0</v>
      </c>
      <c r="N64" s="26">
        <f t="shared" si="3"/>
        <v>1</v>
      </c>
    </row>
    <row r="65" spans="1:14" ht="15.75" customHeight="1" thickBot="1" x14ac:dyDescent="0.3">
      <c r="A65" s="53">
        <v>62</v>
      </c>
      <c r="B65" s="17">
        <v>1</v>
      </c>
      <c r="C65" s="20">
        <v>40</v>
      </c>
      <c r="D65" s="21" t="s">
        <v>4</v>
      </c>
      <c r="E65" s="20">
        <v>2</v>
      </c>
      <c r="F65" s="49"/>
      <c r="G65" s="24">
        <f>COUNTIF($C$4:$C$67,A65)</f>
        <v>1</v>
      </c>
      <c r="H65" s="24">
        <f>COUNTIF($E$4:$E$67,A65)</f>
        <v>1</v>
      </c>
      <c r="I65" s="24">
        <f t="shared" si="0"/>
        <v>0</v>
      </c>
      <c r="J65" s="24">
        <f t="shared" si="1"/>
        <v>3</v>
      </c>
      <c r="K65" s="24">
        <f t="shared" si="2"/>
        <v>-2</v>
      </c>
      <c r="L65" s="24">
        <f>COUNTIF($C$4:$C$67,A65)</f>
        <v>1</v>
      </c>
      <c r="M65" s="24">
        <f>COUNTIF(E68:E68,A65)</f>
        <v>0</v>
      </c>
      <c r="N65" s="26">
        <f t="shared" si="3"/>
        <v>1</v>
      </c>
    </row>
    <row r="66" spans="1:14" ht="15.75" customHeight="1" thickBot="1" x14ac:dyDescent="0.3">
      <c r="A66" s="52">
        <v>63</v>
      </c>
      <c r="B66" s="17">
        <v>2</v>
      </c>
      <c r="C66" s="20">
        <v>3</v>
      </c>
      <c r="D66" s="21" t="s">
        <v>5</v>
      </c>
      <c r="E66" s="20">
        <v>39</v>
      </c>
      <c r="F66" s="49"/>
      <c r="G66" s="24">
        <f>COUNTIF($C$4:$C$67,A66)</f>
        <v>1</v>
      </c>
      <c r="H66" s="24">
        <f>COUNTIF($E$4:$E$67,A66)</f>
        <v>1</v>
      </c>
      <c r="I66" s="24">
        <f t="shared" si="0"/>
        <v>0</v>
      </c>
      <c r="J66" s="24">
        <f t="shared" si="1"/>
        <v>3</v>
      </c>
      <c r="K66" s="24">
        <f t="shared" si="2"/>
        <v>-1</v>
      </c>
      <c r="L66" s="24">
        <f>COUNTIF($C$4:$C$67,A66)</f>
        <v>1</v>
      </c>
      <c r="M66" s="24">
        <f>COUNTIF(E68:E68,A66)</f>
        <v>0</v>
      </c>
      <c r="N66" s="26">
        <f t="shared" si="3"/>
        <v>2</v>
      </c>
    </row>
    <row r="67" spans="1:14" ht="15.75" customHeight="1" thickBot="1" x14ac:dyDescent="0.3">
      <c r="A67" s="51">
        <v>64</v>
      </c>
      <c r="B67" s="17">
        <v>1</v>
      </c>
      <c r="C67" s="20">
        <v>38</v>
      </c>
      <c r="D67" s="21" t="s">
        <v>4</v>
      </c>
      <c r="E67" s="20">
        <v>4</v>
      </c>
      <c r="F67" s="49"/>
      <c r="G67" s="24">
        <f>COUNTIF($C$4:$C$67,A67)</f>
        <v>1</v>
      </c>
      <c r="H67" s="24">
        <f>COUNTIF($E$4:$E$67,A67)</f>
        <v>1</v>
      </c>
      <c r="I67" s="24">
        <f t="shared" si="0"/>
        <v>0</v>
      </c>
      <c r="J67" s="24">
        <f t="shared" si="1"/>
        <v>3</v>
      </c>
      <c r="K67" s="24">
        <f t="shared" si="2"/>
        <v>-2</v>
      </c>
      <c r="L67" s="24">
        <f>COUNTIF($C$4:$C$67,A67)</f>
        <v>1</v>
      </c>
      <c r="M67" s="24">
        <f>COUNTIF(E68:E68,A67)</f>
        <v>0</v>
      </c>
      <c r="N67" s="26">
        <f t="shared" si="3"/>
        <v>1</v>
      </c>
    </row>
  </sheetData>
  <mergeCells count="10">
    <mergeCell ref="K2:K3"/>
    <mergeCell ref="L2:L3"/>
    <mergeCell ref="M2:M3"/>
    <mergeCell ref="C3:E3"/>
    <mergeCell ref="A1:E1"/>
    <mergeCell ref="A2:E2"/>
    <mergeCell ref="G2:G3"/>
    <mergeCell ref="H2:H3"/>
    <mergeCell ref="I2:I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3082-2</vt:lpstr>
      <vt:lpstr>3082-3 Horaire</vt:lpstr>
      <vt:lpstr>3082-3 Anti-Horaire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TRUPIANO</dc:creator>
  <cp:lastModifiedBy>Norbert TRUPIANO</cp:lastModifiedBy>
  <dcterms:created xsi:type="dcterms:W3CDTF">2026-03-08T12:44:31Z</dcterms:created>
  <dcterms:modified xsi:type="dcterms:W3CDTF">2026-03-09T06:24:32Z</dcterms:modified>
</cp:coreProperties>
</file>